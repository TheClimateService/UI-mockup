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3913"/>
  <workbookPr showInkAnnotation="0" autoCompressPictures="0"/>
  <bookViews>
    <workbookView xWindow="0" yWindow="0" windowWidth="28660" windowHeight="16220" tabRatio="723" firstSheet="1" activeTab="6"/>
  </bookViews>
  <sheets>
    <sheet name="CorpRiskTable" sheetId="10" r:id="rId1"/>
    <sheet name="ValueAtRisk" sheetId="1" r:id="rId2"/>
    <sheet name="Location" sheetId="9" r:id="rId3"/>
    <sheet name="ParentCorp" sheetId="3" r:id="rId4"/>
    <sheet name="TCFDCategory" sheetId="4" r:id="rId5"/>
    <sheet name="TCFDSubCat" sheetId="5" r:id="rId6"/>
    <sheet name="RiskFactor" sheetId="6" r:id="rId7"/>
    <sheet name="Scenarios" sheetId="7" r:id="rId8"/>
    <sheet name="CorpRiskTable_withSEoutputs" sheetId="11" r:id="rId9"/>
    <sheet name="users" sheetId="12" r:id="rId10"/>
  </sheets>
  <calcPr calcId="140001" concurrentCalc="0"/>
  <extLst>
    <ext xmlns:mx="http://schemas.microsoft.com/office/mac/excel/2008/main" uri="{7523E5D3-25F3-A5E0-1632-64F254C22452}">
      <mx:ArchID Flags="2"/>
    </ext>
    <ext xmlns:x14="http://schemas.microsoft.com/office/spreadsheetml/2009/9/main" uri="{79F54976-1DA5-4618-B147-4CDE4B953A38}">
      <x14:workbookPr defaultImageDpi="32767"/>
    </ext>
  </extLst>
</workbook>
</file>

<file path=xl/calcChain.xml><?xml version="1.0" encoding="utf-8"?>
<calcChain xmlns="http://schemas.openxmlformats.org/spreadsheetml/2006/main">
  <c r="E3" i="12" l="1"/>
  <c r="E4" i="12"/>
  <c r="E5" i="12"/>
  <c r="E2" i="12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17" i="1"/>
  <c r="E77" i="1"/>
  <c r="E18" i="1"/>
  <c r="E78" i="1"/>
  <c r="E19" i="1"/>
  <c r="E79" i="1"/>
  <c r="E20" i="1"/>
  <c r="E80" i="1"/>
  <c r="E21" i="1"/>
  <c r="E81" i="1"/>
  <c r="E22" i="1"/>
  <c r="E82" i="1"/>
  <c r="E23" i="1"/>
  <c r="E83" i="1"/>
  <c r="E24" i="1"/>
  <c r="E84" i="1"/>
  <c r="E25" i="1"/>
  <c r="E85" i="1"/>
  <c r="E26" i="1"/>
  <c r="E86" i="1"/>
  <c r="E27" i="1"/>
  <c r="E87" i="1"/>
  <c r="E28" i="1"/>
  <c r="E88" i="1"/>
  <c r="E29" i="1"/>
  <c r="E89" i="1"/>
  <c r="E30" i="1"/>
  <c r="E90" i="1"/>
  <c r="E31" i="1"/>
  <c r="E91" i="1"/>
  <c r="E6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32" i="1"/>
</calcChain>
</file>

<file path=xl/sharedStrings.xml><?xml version="1.0" encoding="utf-8"?>
<sst xmlns="http://schemas.openxmlformats.org/spreadsheetml/2006/main" count="7417" uniqueCount="183">
  <si>
    <t>LocationID</t>
  </si>
  <si>
    <t>TCFDCategoryID</t>
  </si>
  <si>
    <t>RiskFactorID</t>
  </si>
  <si>
    <t>ScenarioID</t>
  </si>
  <si>
    <t>ValueAtRisk</t>
  </si>
  <si>
    <t>RiskYear</t>
  </si>
  <si>
    <t>LocationName</t>
  </si>
  <si>
    <t>ParentCorpID</t>
  </si>
  <si>
    <t>ParentCorpName</t>
  </si>
  <si>
    <t>Micron Technology, Inc.</t>
  </si>
  <si>
    <t>TickerSymbol</t>
  </si>
  <si>
    <t>Exchange</t>
  </si>
  <si>
    <t>NYSE</t>
  </si>
  <si>
    <t>MU</t>
  </si>
  <si>
    <t>Physical Risk</t>
  </si>
  <si>
    <t>Transition Risk</t>
  </si>
  <si>
    <t>Opportunity</t>
  </si>
  <si>
    <t>TCFDSubCatID</t>
  </si>
  <si>
    <t>TCFDSubCatName</t>
  </si>
  <si>
    <t>TCFDCategoryName</t>
  </si>
  <si>
    <t>Policy &amp; Legal</t>
  </si>
  <si>
    <t>Technology</t>
  </si>
  <si>
    <t>Market</t>
  </si>
  <si>
    <t>Reputation</t>
  </si>
  <si>
    <t>Acute</t>
  </si>
  <si>
    <t>Chronic</t>
  </si>
  <si>
    <t>Resource Efficiency</t>
  </si>
  <si>
    <t>Energy Source</t>
  </si>
  <si>
    <t>Resilience</t>
  </si>
  <si>
    <t>RiskFactorName</t>
  </si>
  <si>
    <t>Increased pricing of GHG emissions</t>
  </si>
  <si>
    <t>Exposure to litigation</t>
  </si>
  <si>
    <t>Increased stakeholder concern or negative stakeholder feedback</t>
  </si>
  <si>
    <t>Energy Efficiency</t>
  </si>
  <si>
    <t>Water Efficiency</t>
  </si>
  <si>
    <t>Materials Efficiency</t>
  </si>
  <si>
    <t>ScenarioName</t>
  </si>
  <si>
    <t>RCP8.5</t>
  </si>
  <si>
    <t>RCP4.5</t>
  </si>
  <si>
    <t>[Muliplier - not for DB]</t>
  </si>
  <si>
    <t>[Notes - not for DB]</t>
  </si>
  <si>
    <t>carbon price</t>
  </si>
  <si>
    <t>litigation</t>
  </si>
  <si>
    <t>Lower emissions</t>
  </si>
  <si>
    <t>lon</t>
  </si>
  <si>
    <t>lat</t>
  </si>
  <si>
    <t>location</t>
  </si>
  <si>
    <t>df_tx90p</t>
  </si>
  <si>
    <t>df_pdsisc</t>
  </si>
  <si>
    <t>df_coastalflood</t>
  </si>
  <si>
    <t>notes</t>
  </si>
  <si>
    <t>Boise_Idaho</t>
  </si>
  <si>
    <t>tx90p-1</t>
  </si>
  <si>
    <t>pdsisc-1</t>
  </si>
  <si>
    <t>coastalflood-1</t>
  </si>
  <si>
    <t>-</t>
  </si>
  <si>
    <t>Manassas_Virginia</t>
  </si>
  <si>
    <t>tx90p-2</t>
  </si>
  <si>
    <t>pdsisc-2</t>
  </si>
  <si>
    <t>coastalflood-2</t>
  </si>
  <si>
    <t>Singapore</t>
  </si>
  <si>
    <t>Catania_Italy</t>
  </si>
  <si>
    <t>XXX_original_lon=15.056097_moved_west_4landpoint</t>
  </si>
  <si>
    <t>Bangalore_India</t>
  </si>
  <si>
    <t>American_Falls_ID</t>
  </si>
  <si>
    <t>Bliss_ID</t>
  </si>
  <si>
    <t>Cambridge_ID</t>
  </si>
  <si>
    <t>Bruneau_ID</t>
  </si>
  <si>
    <t>Cascade_ID</t>
  </si>
  <si>
    <t>Buhl_ID</t>
  </si>
  <si>
    <t>Hagerman_ID</t>
  </si>
  <si>
    <t>Salmon_ID</t>
  </si>
  <si>
    <t>Twin_Falls_ID</t>
  </si>
  <si>
    <t>Kuna_ID</t>
  </si>
  <si>
    <t>Wendell_ID</t>
  </si>
  <si>
    <t>Kimberly_ID</t>
  </si>
  <si>
    <t>Oxbow_OR</t>
  </si>
  <si>
    <t>Murtaugh_ID</t>
  </si>
  <si>
    <t>Mountain_Home_ID</t>
  </si>
  <si>
    <t>New_Plymouth_ID</t>
  </si>
  <si>
    <t>IDA</t>
  </si>
  <si>
    <t>IDACORP, Inc</t>
  </si>
  <si>
    <t>Singapore_200mm_NOR</t>
  </si>
  <si>
    <t>Boise</t>
  </si>
  <si>
    <t>Manassas</t>
  </si>
  <si>
    <t>Singapore_Hqs</t>
  </si>
  <si>
    <t>Singapore_300mm_DRAM</t>
  </si>
  <si>
    <t>Singapore_300mm_NAND</t>
  </si>
  <si>
    <t>Catania</t>
  </si>
  <si>
    <t>Bangalore</t>
  </si>
  <si>
    <t>American_Falls</t>
  </si>
  <si>
    <t>Bliss</t>
  </si>
  <si>
    <t>Brownlee</t>
  </si>
  <si>
    <t>C_J_Strike</t>
  </si>
  <si>
    <t>Cascade_Dam</t>
  </si>
  <si>
    <t>Clear_Lake</t>
  </si>
  <si>
    <t>Lower_Malad</t>
  </si>
  <si>
    <t>Lower_Salmon</t>
  </si>
  <si>
    <t>Salmon_Diesel</t>
  </si>
  <si>
    <t>Shoshone_Falls</t>
  </si>
  <si>
    <t>Swan_Falls</t>
  </si>
  <si>
    <t>Thousand_Springs</t>
  </si>
  <si>
    <t>Twin_Falls_(ID)</t>
  </si>
  <si>
    <t>Upper_Salmon_A</t>
  </si>
  <si>
    <t>Upper_Malad</t>
  </si>
  <si>
    <t>Hells_Canyon</t>
  </si>
  <si>
    <t>Oxbow_(OR)</t>
  </si>
  <si>
    <t>Upper_Salmon_B</t>
  </si>
  <si>
    <t>Milner_Hydro</t>
  </si>
  <si>
    <t>Evander_Andrews_Power_Complex</t>
  </si>
  <si>
    <t>Bennett_Mountain</t>
  </si>
  <si>
    <t>Langley_Gulch_Power_Plant</t>
  </si>
  <si>
    <t>Location</t>
  </si>
  <si>
    <t>Transition</t>
  </si>
  <si>
    <t>Physical</t>
  </si>
  <si>
    <t>Temperature extremes</t>
  </si>
  <si>
    <t>Coastal flooding</t>
  </si>
  <si>
    <t>Drought</t>
  </si>
  <si>
    <t xml:space="preserve"> ValueAtRisk </t>
  </si>
  <si>
    <t>Username</t>
  </si>
  <si>
    <t>Password</t>
  </si>
  <si>
    <t>Name</t>
  </si>
  <si>
    <t>james</t>
  </si>
  <si>
    <t>James McMahon</t>
  </si>
  <si>
    <t>Micron-demo</t>
  </si>
  <si>
    <t>Micron Demo</t>
  </si>
  <si>
    <t>IDACORP</t>
  </si>
  <si>
    <t>IDACORP DEMO</t>
  </si>
  <si>
    <t>HP-demo</t>
  </si>
  <si>
    <t>HP Demo</t>
  </si>
  <si>
    <t>HP Inc.</t>
  </si>
  <si>
    <t>HPQ</t>
  </si>
  <si>
    <t>Colorado_Springs</t>
  </si>
  <si>
    <t>Corvallis_OR</t>
  </si>
  <si>
    <t>Colorado_Springs_CO</t>
  </si>
  <si>
    <t>Cupertino_CA</t>
  </si>
  <si>
    <t>Houston</t>
  </si>
  <si>
    <t>Houston_TX</t>
  </si>
  <si>
    <t>Palo_Alto_CA</t>
  </si>
  <si>
    <t>Palo_Alto</t>
  </si>
  <si>
    <t>Cupertino</t>
  </si>
  <si>
    <t>Corvallis</t>
  </si>
  <si>
    <t>Plano</t>
  </si>
  <si>
    <t>Plano_TX</t>
  </si>
  <si>
    <t>Roseville</t>
  </si>
  <si>
    <t>Roseville_CA</t>
  </si>
  <si>
    <t>San_Bernadino</t>
  </si>
  <si>
    <t>San_Bernadino_CA</t>
  </si>
  <si>
    <t>Dublin</t>
  </si>
  <si>
    <t>Puerto_Rico</t>
  </si>
  <si>
    <t>Barcelona_Sant_Cugat</t>
  </si>
  <si>
    <t>Rehovot</t>
  </si>
  <si>
    <t>Rehovot_Israel</t>
  </si>
  <si>
    <t>Singapore_DRD</t>
  </si>
  <si>
    <t>San_Diego</t>
  </si>
  <si>
    <t>San_Diego_CA</t>
  </si>
  <si>
    <t>Barcelona_Sant_Cugat_Spain</t>
  </si>
  <si>
    <t>Dublin_Ireland</t>
  </si>
  <si>
    <t>Reputation damage</t>
  </si>
  <si>
    <t>Carbon pricing</t>
  </si>
  <si>
    <t>DamageFunctionClass</t>
  </si>
  <si>
    <t>tx90p_10</t>
  </si>
  <si>
    <t>tx90p_5</t>
  </si>
  <si>
    <t>tx90p_100</t>
  </si>
  <si>
    <t>coastalflood_100</t>
  </si>
  <si>
    <t>pdsisc_100</t>
  </si>
  <si>
    <t>Litigation risk</t>
  </si>
  <si>
    <t>New technology</t>
  </si>
  <si>
    <t>Materials cost</t>
  </si>
  <si>
    <t>Storm damage</t>
  </si>
  <si>
    <t>Employee impacts</t>
  </si>
  <si>
    <t>Renewable price stability</t>
  </si>
  <si>
    <t>Energy resilience</t>
  </si>
  <si>
    <t>tx90p_15</t>
  </si>
  <si>
    <t>tx90p_8</t>
  </si>
  <si>
    <t>tx90p_3</t>
  </si>
  <si>
    <t>tx90p_6</t>
  </si>
  <si>
    <t>tx90p_70</t>
  </si>
  <si>
    <t>tx90p_7</t>
  </si>
  <si>
    <t>tx90p_60</t>
  </si>
  <si>
    <t>tx90p_18</t>
  </si>
  <si>
    <t>tx90p_12</t>
  </si>
  <si>
    <t>tx90p_16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</si>
</sst>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charset val="134"/>
      <scheme val="minor"/>
    </font>
    <font>
      <u/>
      <sz val="12"/>
      <color theme="10"/>
      <name val="Calibri"/>
      <family val="2"/>
      <charset val="134"/>
      <scheme val="minor"/>
    </font>
    <font>
      <u/>
      <sz val="12"/>
      <color theme="11"/>
      <name val="Calibri"/>
      <family val="2"/>
      <charset val="134"/>
      <scheme val="minor"/>
    </font>
    <font>
      <sz val="12"/>
      <color rgb="FF000000"/>
      <name val="Calibri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quotePrefix="1"/>
    <xf numFmtId="0" fontId="0" fillId="0" borderId="0" xfId="0" applyAlignment="1">
      <alignment wrapText="1"/>
    </xf>
    <xf numFmtId="0" fontId="3" fillId="0" borderId="0" xfId="0" applyFont="1"/>
    <xf numFmtId="0" fontId="0" fillId="2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81"/>
  <sheetViews>
    <sheetView topLeftCell="A87" workbookViewId="0">
      <selection activeCell="C904" sqref="C904"/>
    </sheetView>
  </sheetViews>
  <sheetFormatPr baseColWidth="10" defaultRowHeight="15" x14ac:dyDescent="0"/>
  <cols>
    <col min="1" max="1" width="12.6640625" customWidth="1"/>
    <col min="3" max="3" width="24.33203125" customWidth="1"/>
    <col min="6" max="6" width="24.83203125" customWidth="1"/>
    <col min="7" max="7" width="23.1640625" customWidth="1"/>
    <col min="8" max="8" width="21.83203125" customWidth="1"/>
  </cols>
  <sheetData>
    <row r="1" spans="1:9">
      <c r="A1" t="s">
        <v>7</v>
      </c>
      <c r="B1" t="s">
        <v>0</v>
      </c>
      <c r="C1" t="s">
        <v>112</v>
      </c>
      <c r="D1" t="s">
        <v>19</v>
      </c>
      <c r="E1" t="s">
        <v>18</v>
      </c>
      <c r="F1" t="s">
        <v>29</v>
      </c>
      <c r="G1" t="s">
        <v>36</v>
      </c>
      <c r="H1" t="s">
        <v>5</v>
      </c>
      <c r="I1" t="s">
        <v>4</v>
      </c>
    </row>
    <row r="2" spans="1:9">
      <c r="A2">
        <v>1</v>
      </c>
      <c r="B2">
        <v>1</v>
      </c>
      <c r="C2" t="s">
        <v>83</v>
      </c>
      <c r="D2" t="s">
        <v>113</v>
      </c>
      <c r="E2" t="s">
        <v>20</v>
      </c>
      <c r="F2" t="s">
        <v>30</v>
      </c>
      <c r="G2" t="s">
        <v>37</v>
      </c>
      <c r="H2">
        <v>2018</v>
      </c>
      <c r="I2">
        <v>2.187601396270773</v>
      </c>
    </row>
    <row r="3" spans="1:9">
      <c r="A3">
        <v>1</v>
      </c>
      <c r="B3">
        <v>1</v>
      </c>
      <c r="C3" t="s">
        <v>83</v>
      </c>
      <c r="D3" t="s">
        <v>113</v>
      </c>
      <c r="E3" t="s">
        <v>20</v>
      </c>
      <c r="F3" t="s">
        <v>30</v>
      </c>
      <c r="G3" t="s">
        <v>37</v>
      </c>
      <c r="H3">
        <v>2019</v>
      </c>
      <c r="I3">
        <v>1.6355157326702687</v>
      </c>
    </row>
    <row r="4" spans="1:9">
      <c r="A4">
        <v>1</v>
      </c>
      <c r="B4">
        <v>1</v>
      </c>
      <c r="C4" t="s">
        <v>83</v>
      </c>
      <c r="D4" t="s">
        <v>113</v>
      </c>
      <c r="E4" t="s">
        <v>20</v>
      </c>
      <c r="F4" t="s">
        <v>30</v>
      </c>
      <c r="G4" t="s">
        <v>37</v>
      </c>
      <c r="H4">
        <v>2020</v>
      </c>
      <c r="I4">
        <v>2.2139922146838056</v>
      </c>
    </row>
    <row r="5" spans="1:9">
      <c r="A5">
        <v>1</v>
      </c>
      <c r="B5">
        <v>1</v>
      </c>
      <c r="C5" t="s">
        <v>83</v>
      </c>
      <c r="D5" t="s">
        <v>113</v>
      </c>
      <c r="E5" t="s">
        <v>20</v>
      </c>
      <c r="F5" t="s">
        <v>30</v>
      </c>
      <c r="G5" t="s">
        <v>37</v>
      </c>
      <c r="H5">
        <v>2021</v>
      </c>
      <c r="I5">
        <v>2.8583792592842676</v>
      </c>
    </row>
    <row r="6" spans="1:9">
      <c r="A6">
        <v>1</v>
      </c>
      <c r="B6">
        <v>1</v>
      </c>
      <c r="C6" t="s">
        <v>83</v>
      </c>
      <c r="D6" t="s">
        <v>113</v>
      </c>
      <c r="E6" t="s">
        <v>20</v>
      </c>
      <c r="F6" t="s">
        <v>30</v>
      </c>
      <c r="G6" t="s">
        <v>37</v>
      </c>
      <c r="H6">
        <v>2022</v>
      </c>
      <c r="I6">
        <v>2.0469480315913686</v>
      </c>
    </row>
    <row r="7" spans="1:9">
      <c r="A7">
        <v>1</v>
      </c>
      <c r="B7">
        <v>1</v>
      </c>
      <c r="C7" t="s">
        <v>83</v>
      </c>
      <c r="D7" t="s">
        <v>113</v>
      </c>
      <c r="E7" t="s">
        <v>20</v>
      </c>
      <c r="F7" t="s">
        <v>30</v>
      </c>
      <c r="G7" t="s">
        <v>37</v>
      </c>
      <c r="H7">
        <v>2023</v>
      </c>
      <c r="I7">
        <v>1.9719219021487491</v>
      </c>
    </row>
    <row r="8" spans="1:9">
      <c r="A8">
        <v>1</v>
      </c>
      <c r="B8">
        <v>1</v>
      </c>
      <c r="C8" t="s">
        <v>83</v>
      </c>
      <c r="D8" t="s">
        <v>113</v>
      </c>
      <c r="E8" t="s">
        <v>20</v>
      </c>
      <c r="F8" t="s">
        <v>30</v>
      </c>
      <c r="G8" t="s">
        <v>37</v>
      </c>
      <c r="H8">
        <v>2024</v>
      </c>
      <c r="I8">
        <v>2.095102688815274</v>
      </c>
    </row>
    <row r="9" spans="1:9">
      <c r="A9">
        <v>1</v>
      </c>
      <c r="B9">
        <v>1</v>
      </c>
      <c r="C9" t="s">
        <v>83</v>
      </c>
      <c r="D9" t="s">
        <v>113</v>
      </c>
      <c r="E9" t="s">
        <v>20</v>
      </c>
      <c r="F9" t="s">
        <v>30</v>
      </c>
      <c r="G9" t="s">
        <v>37</v>
      </c>
      <c r="H9">
        <v>2025</v>
      </c>
      <c r="I9">
        <v>3.1106428927935763</v>
      </c>
    </row>
    <row r="10" spans="1:9">
      <c r="A10">
        <v>1</v>
      </c>
      <c r="B10">
        <v>1</v>
      </c>
      <c r="C10" t="s">
        <v>83</v>
      </c>
      <c r="D10" t="s">
        <v>113</v>
      </c>
      <c r="E10" t="s">
        <v>20</v>
      </c>
      <c r="F10" t="s">
        <v>30</v>
      </c>
      <c r="G10" t="s">
        <v>37</v>
      </c>
      <c r="H10">
        <v>2026</v>
      </c>
      <c r="I10">
        <v>3.2408923353451646</v>
      </c>
    </row>
    <row r="11" spans="1:9">
      <c r="A11">
        <v>1</v>
      </c>
      <c r="B11">
        <v>1</v>
      </c>
      <c r="C11" t="s">
        <v>83</v>
      </c>
      <c r="D11" t="s">
        <v>113</v>
      </c>
      <c r="E11" t="s">
        <v>20</v>
      </c>
      <c r="F11" t="s">
        <v>30</v>
      </c>
      <c r="G11" t="s">
        <v>37</v>
      </c>
      <c r="H11">
        <v>2027</v>
      </c>
      <c r="I11">
        <v>2.7801498346902083</v>
      </c>
    </row>
    <row r="12" spans="1:9">
      <c r="A12">
        <v>1</v>
      </c>
      <c r="B12">
        <v>1</v>
      </c>
      <c r="C12" t="s">
        <v>83</v>
      </c>
      <c r="D12" t="s">
        <v>113</v>
      </c>
      <c r="E12" t="s">
        <v>20</v>
      </c>
      <c r="F12" t="s">
        <v>30</v>
      </c>
      <c r="G12" t="s">
        <v>37</v>
      </c>
      <c r="H12">
        <v>2028</v>
      </c>
      <c r="I12">
        <v>2.9053733696271773</v>
      </c>
    </row>
    <row r="13" spans="1:9">
      <c r="A13">
        <v>1</v>
      </c>
      <c r="B13">
        <v>1</v>
      </c>
      <c r="C13" t="s">
        <v>83</v>
      </c>
      <c r="D13" t="s">
        <v>113</v>
      </c>
      <c r="E13" t="s">
        <v>20</v>
      </c>
      <c r="F13" t="s">
        <v>30</v>
      </c>
      <c r="G13" t="s">
        <v>37</v>
      </c>
      <c r="H13">
        <v>2029</v>
      </c>
      <c r="I13">
        <v>2.1631591455084038</v>
      </c>
    </row>
    <row r="14" spans="1:9">
      <c r="A14">
        <v>1</v>
      </c>
      <c r="B14">
        <v>1</v>
      </c>
      <c r="C14" t="s">
        <v>83</v>
      </c>
      <c r="D14" t="s">
        <v>113</v>
      </c>
      <c r="E14" t="s">
        <v>20</v>
      </c>
      <c r="F14" t="s">
        <v>30</v>
      </c>
      <c r="G14" t="s">
        <v>37</v>
      </c>
      <c r="H14">
        <v>2030</v>
      </c>
      <c r="I14">
        <v>2.3291847936248766</v>
      </c>
    </row>
    <row r="15" spans="1:9">
      <c r="A15">
        <v>1</v>
      </c>
      <c r="B15">
        <v>1</v>
      </c>
      <c r="C15" t="s">
        <v>83</v>
      </c>
      <c r="D15" t="s">
        <v>113</v>
      </c>
      <c r="E15" t="s">
        <v>20</v>
      </c>
      <c r="F15" t="s">
        <v>30</v>
      </c>
      <c r="G15" t="s">
        <v>37</v>
      </c>
      <c r="H15">
        <v>2031</v>
      </c>
      <c r="I15">
        <v>3.7111856576152249</v>
      </c>
    </row>
    <row r="16" spans="1:9">
      <c r="A16">
        <v>1</v>
      </c>
      <c r="B16">
        <v>1</v>
      </c>
      <c r="C16" t="s">
        <v>83</v>
      </c>
      <c r="D16" t="s">
        <v>113</v>
      </c>
      <c r="E16" t="s">
        <v>20</v>
      </c>
      <c r="F16" t="s">
        <v>30</v>
      </c>
      <c r="G16" t="s">
        <v>37</v>
      </c>
      <c r="H16">
        <v>2032</v>
      </c>
      <c r="I16">
        <v>2.2415289733138177</v>
      </c>
    </row>
    <row r="17" spans="1:9">
      <c r="A17">
        <v>1</v>
      </c>
      <c r="B17">
        <v>1</v>
      </c>
      <c r="C17" t="s">
        <v>83</v>
      </c>
      <c r="D17" t="s">
        <v>113</v>
      </c>
      <c r="E17" t="s">
        <v>20</v>
      </c>
      <c r="F17" t="s">
        <v>30</v>
      </c>
      <c r="G17" t="s">
        <v>38</v>
      </c>
      <c r="H17">
        <v>2018</v>
      </c>
      <c r="I17">
        <v>0.76150299952521727</v>
      </c>
    </row>
    <row r="18" spans="1:9">
      <c r="A18">
        <v>1</v>
      </c>
      <c r="B18">
        <v>1</v>
      </c>
      <c r="C18" t="s">
        <v>83</v>
      </c>
      <c r="D18" t="s">
        <v>113</v>
      </c>
      <c r="E18" t="s">
        <v>20</v>
      </c>
      <c r="F18" t="s">
        <v>30</v>
      </c>
      <c r="G18" t="s">
        <v>38</v>
      </c>
      <c r="H18">
        <v>2019</v>
      </c>
      <c r="I18">
        <v>0.737418886489009</v>
      </c>
    </row>
    <row r="19" spans="1:9">
      <c r="A19">
        <v>1</v>
      </c>
      <c r="B19">
        <v>1</v>
      </c>
      <c r="C19" t="s">
        <v>83</v>
      </c>
      <c r="D19" t="s">
        <v>113</v>
      </c>
      <c r="E19" t="s">
        <v>20</v>
      </c>
      <c r="F19" t="s">
        <v>30</v>
      </c>
      <c r="G19" t="s">
        <v>38</v>
      </c>
      <c r="H19">
        <v>2020</v>
      </c>
      <c r="I19">
        <v>0.7180428784173587</v>
      </c>
    </row>
    <row r="20" spans="1:9">
      <c r="A20">
        <v>1</v>
      </c>
      <c r="B20">
        <v>1</v>
      </c>
      <c r="C20" t="s">
        <v>83</v>
      </c>
      <c r="D20" t="s">
        <v>113</v>
      </c>
      <c r="E20" t="s">
        <v>20</v>
      </c>
      <c r="F20" t="s">
        <v>30</v>
      </c>
      <c r="G20" t="s">
        <v>38</v>
      </c>
      <c r="H20">
        <v>2021</v>
      </c>
      <c r="I20">
        <v>0.98750534540785651</v>
      </c>
    </row>
    <row r="21" spans="1:9">
      <c r="A21">
        <v>1</v>
      </c>
      <c r="B21">
        <v>1</v>
      </c>
      <c r="C21" t="s">
        <v>83</v>
      </c>
      <c r="D21" t="s">
        <v>113</v>
      </c>
      <c r="E21" t="s">
        <v>20</v>
      </c>
      <c r="F21" t="s">
        <v>30</v>
      </c>
      <c r="G21" t="s">
        <v>38</v>
      </c>
      <c r="H21">
        <v>2022</v>
      </c>
      <c r="I21">
        <v>1.0049655929106278</v>
      </c>
    </row>
    <row r="22" spans="1:9">
      <c r="A22">
        <v>1</v>
      </c>
      <c r="B22">
        <v>1</v>
      </c>
      <c r="C22" t="s">
        <v>83</v>
      </c>
      <c r="D22" t="s">
        <v>113</v>
      </c>
      <c r="E22" t="s">
        <v>20</v>
      </c>
      <c r="F22" t="s">
        <v>30</v>
      </c>
      <c r="G22" t="s">
        <v>38</v>
      </c>
      <c r="H22">
        <v>2023</v>
      </c>
      <c r="I22">
        <v>1.4888007291076082</v>
      </c>
    </row>
    <row r="23" spans="1:9">
      <c r="A23">
        <v>1</v>
      </c>
      <c r="B23">
        <v>1</v>
      </c>
      <c r="C23" t="s">
        <v>83</v>
      </c>
      <c r="D23" t="s">
        <v>113</v>
      </c>
      <c r="E23" t="s">
        <v>20</v>
      </c>
      <c r="F23" t="s">
        <v>30</v>
      </c>
      <c r="G23" t="s">
        <v>38</v>
      </c>
      <c r="H23">
        <v>2024</v>
      </c>
      <c r="I23">
        <v>1.2830002682224195</v>
      </c>
    </row>
    <row r="24" spans="1:9">
      <c r="A24">
        <v>1</v>
      </c>
      <c r="B24">
        <v>1</v>
      </c>
      <c r="C24" t="s">
        <v>83</v>
      </c>
      <c r="D24" t="s">
        <v>113</v>
      </c>
      <c r="E24" t="s">
        <v>20</v>
      </c>
      <c r="F24" t="s">
        <v>30</v>
      </c>
      <c r="G24" t="s">
        <v>38</v>
      </c>
      <c r="H24">
        <v>2025</v>
      </c>
      <c r="I24">
        <v>1.5754916423652094</v>
      </c>
    </row>
    <row r="25" spans="1:9">
      <c r="A25">
        <v>1</v>
      </c>
      <c r="B25">
        <v>1</v>
      </c>
      <c r="C25" t="s">
        <v>83</v>
      </c>
      <c r="D25" t="s">
        <v>113</v>
      </c>
      <c r="E25" t="s">
        <v>20</v>
      </c>
      <c r="F25" t="s">
        <v>30</v>
      </c>
      <c r="G25" t="s">
        <v>38</v>
      </c>
      <c r="H25">
        <v>2026</v>
      </c>
      <c r="I25">
        <v>0.87458347828282945</v>
      </c>
    </row>
    <row r="26" spans="1:9">
      <c r="A26">
        <v>1</v>
      </c>
      <c r="B26">
        <v>1</v>
      </c>
      <c r="C26" t="s">
        <v>83</v>
      </c>
      <c r="D26" t="s">
        <v>113</v>
      </c>
      <c r="E26" t="s">
        <v>20</v>
      </c>
      <c r="F26" t="s">
        <v>30</v>
      </c>
      <c r="G26" t="s">
        <v>38</v>
      </c>
      <c r="H26">
        <v>2027</v>
      </c>
      <c r="I26">
        <v>0.88963636536925472</v>
      </c>
    </row>
    <row r="27" spans="1:9">
      <c r="A27">
        <v>1</v>
      </c>
      <c r="B27">
        <v>1</v>
      </c>
      <c r="C27" t="s">
        <v>83</v>
      </c>
      <c r="D27" t="s">
        <v>113</v>
      </c>
      <c r="E27" t="s">
        <v>20</v>
      </c>
      <c r="F27" t="s">
        <v>30</v>
      </c>
      <c r="G27" t="s">
        <v>38</v>
      </c>
      <c r="H27">
        <v>2028</v>
      </c>
      <c r="I27">
        <v>1.8435303796530695</v>
      </c>
    </row>
    <row r="28" spans="1:9">
      <c r="A28">
        <v>1</v>
      </c>
      <c r="B28">
        <v>1</v>
      </c>
      <c r="C28" t="s">
        <v>83</v>
      </c>
      <c r="D28" t="s">
        <v>113</v>
      </c>
      <c r="E28" t="s">
        <v>20</v>
      </c>
      <c r="F28" t="s">
        <v>30</v>
      </c>
      <c r="G28" t="s">
        <v>38</v>
      </c>
      <c r="H28">
        <v>2029</v>
      </c>
      <c r="I28">
        <v>1.3851719136954523</v>
      </c>
    </row>
    <row r="29" spans="1:9">
      <c r="A29">
        <v>1</v>
      </c>
      <c r="B29">
        <v>1</v>
      </c>
      <c r="C29" t="s">
        <v>83</v>
      </c>
      <c r="D29" t="s">
        <v>113</v>
      </c>
      <c r="E29" t="s">
        <v>20</v>
      </c>
      <c r="F29" t="s">
        <v>30</v>
      </c>
      <c r="G29" t="s">
        <v>38</v>
      </c>
      <c r="H29">
        <v>2030</v>
      </c>
      <c r="I29">
        <v>1.4890014226847093</v>
      </c>
    </row>
    <row r="30" spans="1:9">
      <c r="A30">
        <v>1</v>
      </c>
      <c r="B30">
        <v>1</v>
      </c>
      <c r="C30" t="s">
        <v>83</v>
      </c>
      <c r="D30" t="s">
        <v>113</v>
      </c>
      <c r="E30" t="s">
        <v>20</v>
      </c>
      <c r="F30" t="s">
        <v>30</v>
      </c>
      <c r="G30" t="s">
        <v>38</v>
      </c>
      <c r="H30">
        <v>2031</v>
      </c>
      <c r="I30">
        <v>1.6700360791830089</v>
      </c>
    </row>
    <row r="31" spans="1:9">
      <c r="A31">
        <v>1</v>
      </c>
      <c r="B31">
        <v>1</v>
      </c>
      <c r="C31" t="s">
        <v>83</v>
      </c>
      <c r="D31" t="s">
        <v>113</v>
      </c>
      <c r="E31" t="s">
        <v>20</v>
      </c>
      <c r="F31" t="s">
        <v>30</v>
      </c>
      <c r="G31" t="s">
        <v>38</v>
      </c>
      <c r="H31">
        <v>2032</v>
      </c>
      <c r="I31">
        <v>1.4827994487494216</v>
      </c>
    </row>
    <row r="32" spans="1:9">
      <c r="A32">
        <v>1</v>
      </c>
      <c r="B32">
        <v>1</v>
      </c>
      <c r="C32" t="s">
        <v>83</v>
      </c>
      <c r="D32" t="s">
        <v>113</v>
      </c>
      <c r="E32" t="s">
        <v>20</v>
      </c>
      <c r="F32" t="s">
        <v>31</v>
      </c>
      <c r="G32" t="s">
        <v>37</v>
      </c>
      <c r="H32">
        <v>2018</v>
      </c>
      <c r="I32">
        <v>0.80010025896795312</v>
      </c>
    </row>
    <row r="33" spans="1:9">
      <c r="A33">
        <v>1</v>
      </c>
      <c r="B33">
        <v>1</v>
      </c>
      <c r="C33" t="s">
        <v>83</v>
      </c>
      <c r="D33" t="s">
        <v>113</v>
      </c>
      <c r="E33" t="s">
        <v>20</v>
      </c>
      <c r="F33" t="s">
        <v>31</v>
      </c>
      <c r="G33" t="s">
        <v>37</v>
      </c>
      <c r="H33">
        <v>2019</v>
      </c>
      <c r="I33">
        <v>1.0004598527509838</v>
      </c>
    </row>
    <row r="34" spans="1:9">
      <c r="A34">
        <v>1</v>
      </c>
      <c r="B34">
        <v>1</v>
      </c>
      <c r="C34" t="s">
        <v>83</v>
      </c>
      <c r="D34" t="s">
        <v>113</v>
      </c>
      <c r="E34" t="s">
        <v>20</v>
      </c>
      <c r="F34" t="s">
        <v>31</v>
      </c>
      <c r="G34" t="s">
        <v>37</v>
      </c>
      <c r="H34">
        <v>2020</v>
      </c>
      <c r="I34">
        <v>0.72693660244463265</v>
      </c>
    </row>
    <row r="35" spans="1:9">
      <c r="A35">
        <v>1</v>
      </c>
      <c r="B35">
        <v>1</v>
      </c>
      <c r="C35" t="s">
        <v>83</v>
      </c>
      <c r="D35" t="s">
        <v>113</v>
      </c>
      <c r="E35" t="s">
        <v>20</v>
      </c>
      <c r="F35" t="s">
        <v>31</v>
      </c>
      <c r="G35" t="s">
        <v>37</v>
      </c>
      <c r="H35">
        <v>2021</v>
      </c>
      <c r="I35">
        <v>1.1111729208199561</v>
      </c>
    </row>
    <row r="36" spans="1:9">
      <c r="A36">
        <v>1</v>
      </c>
      <c r="B36">
        <v>1</v>
      </c>
      <c r="C36" t="s">
        <v>83</v>
      </c>
      <c r="D36" t="s">
        <v>113</v>
      </c>
      <c r="E36" t="s">
        <v>20</v>
      </c>
      <c r="F36" t="s">
        <v>31</v>
      </c>
      <c r="G36" t="s">
        <v>37</v>
      </c>
      <c r="H36">
        <v>2022</v>
      </c>
      <c r="I36">
        <v>0.99354860408513868</v>
      </c>
    </row>
    <row r="37" spans="1:9">
      <c r="A37">
        <v>1</v>
      </c>
      <c r="B37">
        <v>1</v>
      </c>
      <c r="C37" t="s">
        <v>83</v>
      </c>
      <c r="D37" t="s">
        <v>113</v>
      </c>
      <c r="E37" t="s">
        <v>20</v>
      </c>
      <c r="F37" t="s">
        <v>31</v>
      </c>
      <c r="G37" t="s">
        <v>37</v>
      </c>
      <c r="H37">
        <v>2023</v>
      </c>
      <c r="I37">
        <v>1.3015572104232347</v>
      </c>
    </row>
    <row r="38" spans="1:9">
      <c r="A38">
        <v>1</v>
      </c>
      <c r="B38">
        <v>1</v>
      </c>
      <c r="C38" t="s">
        <v>83</v>
      </c>
      <c r="D38" t="s">
        <v>113</v>
      </c>
      <c r="E38" t="s">
        <v>20</v>
      </c>
      <c r="F38" t="s">
        <v>31</v>
      </c>
      <c r="G38" t="s">
        <v>37</v>
      </c>
      <c r="H38">
        <v>2024</v>
      </c>
      <c r="I38">
        <v>1.5158835458995981</v>
      </c>
    </row>
    <row r="39" spans="1:9">
      <c r="A39">
        <v>1</v>
      </c>
      <c r="B39">
        <v>1</v>
      </c>
      <c r="C39" t="s">
        <v>83</v>
      </c>
      <c r="D39" t="s">
        <v>113</v>
      </c>
      <c r="E39" t="s">
        <v>20</v>
      </c>
      <c r="F39" t="s">
        <v>31</v>
      </c>
      <c r="G39" t="s">
        <v>37</v>
      </c>
      <c r="H39">
        <v>2025</v>
      </c>
      <c r="I39">
        <v>1.207265237845172</v>
      </c>
    </row>
    <row r="40" spans="1:9">
      <c r="A40">
        <v>1</v>
      </c>
      <c r="B40">
        <v>1</v>
      </c>
      <c r="C40" t="s">
        <v>83</v>
      </c>
      <c r="D40" t="s">
        <v>113</v>
      </c>
      <c r="E40" t="s">
        <v>20</v>
      </c>
      <c r="F40" t="s">
        <v>31</v>
      </c>
      <c r="G40" t="s">
        <v>37</v>
      </c>
      <c r="H40">
        <v>2026</v>
      </c>
      <c r="I40">
        <v>0.9237702021869354</v>
      </c>
    </row>
    <row r="41" spans="1:9">
      <c r="A41">
        <v>1</v>
      </c>
      <c r="B41">
        <v>1</v>
      </c>
      <c r="C41" t="s">
        <v>83</v>
      </c>
      <c r="D41" t="s">
        <v>113</v>
      </c>
      <c r="E41" t="s">
        <v>20</v>
      </c>
      <c r="F41" t="s">
        <v>31</v>
      </c>
      <c r="G41" t="s">
        <v>37</v>
      </c>
      <c r="H41">
        <v>2027</v>
      </c>
      <c r="I41">
        <v>0.99649030158593133</v>
      </c>
    </row>
    <row r="42" spans="1:9">
      <c r="A42">
        <v>1</v>
      </c>
      <c r="B42">
        <v>1</v>
      </c>
      <c r="C42" t="s">
        <v>83</v>
      </c>
      <c r="D42" t="s">
        <v>113</v>
      </c>
      <c r="E42" t="s">
        <v>20</v>
      </c>
      <c r="F42" t="s">
        <v>31</v>
      </c>
      <c r="G42" t="s">
        <v>37</v>
      </c>
      <c r="H42">
        <v>2028</v>
      </c>
      <c r="I42">
        <v>1.0166782884998273</v>
      </c>
    </row>
    <row r="43" spans="1:9">
      <c r="A43">
        <v>1</v>
      </c>
      <c r="B43">
        <v>1</v>
      </c>
      <c r="C43" t="s">
        <v>83</v>
      </c>
      <c r="D43" t="s">
        <v>113</v>
      </c>
      <c r="E43" t="s">
        <v>20</v>
      </c>
      <c r="F43" t="s">
        <v>31</v>
      </c>
      <c r="G43" t="s">
        <v>37</v>
      </c>
      <c r="H43">
        <v>2029</v>
      </c>
      <c r="I43">
        <v>1.7095379289792687</v>
      </c>
    </row>
    <row r="44" spans="1:9">
      <c r="A44">
        <v>1</v>
      </c>
      <c r="B44">
        <v>1</v>
      </c>
      <c r="C44" t="s">
        <v>83</v>
      </c>
      <c r="D44" t="s">
        <v>113</v>
      </c>
      <c r="E44" t="s">
        <v>20</v>
      </c>
      <c r="F44" t="s">
        <v>31</v>
      </c>
      <c r="G44" t="s">
        <v>37</v>
      </c>
      <c r="H44">
        <v>2030</v>
      </c>
      <c r="I44">
        <v>0.98762786210591114</v>
      </c>
    </row>
    <row r="45" spans="1:9">
      <c r="A45">
        <v>1</v>
      </c>
      <c r="B45">
        <v>1</v>
      </c>
      <c r="C45" t="s">
        <v>83</v>
      </c>
      <c r="D45" t="s">
        <v>113</v>
      </c>
      <c r="E45" t="s">
        <v>20</v>
      </c>
      <c r="F45" t="s">
        <v>31</v>
      </c>
      <c r="G45" t="s">
        <v>37</v>
      </c>
      <c r="H45">
        <v>2031</v>
      </c>
      <c r="I45">
        <v>1.7378818194488614</v>
      </c>
    </row>
    <row r="46" spans="1:9">
      <c r="A46">
        <v>1</v>
      </c>
      <c r="B46">
        <v>1</v>
      </c>
      <c r="C46" t="s">
        <v>83</v>
      </c>
      <c r="D46" t="s">
        <v>113</v>
      </c>
      <c r="E46" t="s">
        <v>20</v>
      </c>
      <c r="F46" t="s">
        <v>31</v>
      </c>
      <c r="G46" t="s">
        <v>37</v>
      </c>
      <c r="H46">
        <v>2032</v>
      </c>
      <c r="I46">
        <v>1.5299923085898861</v>
      </c>
    </row>
    <row r="47" spans="1:9">
      <c r="A47">
        <v>1</v>
      </c>
      <c r="B47">
        <v>1</v>
      </c>
      <c r="C47" t="s">
        <v>83</v>
      </c>
      <c r="D47" t="s">
        <v>113</v>
      </c>
      <c r="E47" t="s">
        <v>20</v>
      </c>
      <c r="F47" t="s">
        <v>31</v>
      </c>
      <c r="G47" t="s">
        <v>38</v>
      </c>
      <c r="H47">
        <v>2018</v>
      </c>
      <c r="I47">
        <v>0.36668566256060048</v>
      </c>
    </row>
    <row r="48" spans="1:9">
      <c r="A48">
        <v>1</v>
      </c>
      <c r="B48">
        <v>1</v>
      </c>
      <c r="C48" t="s">
        <v>83</v>
      </c>
      <c r="D48" t="s">
        <v>113</v>
      </c>
      <c r="E48" t="s">
        <v>20</v>
      </c>
      <c r="F48" t="s">
        <v>31</v>
      </c>
      <c r="G48" t="s">
        <v>38</v>
      </c>
      <c r="H48">
        <v>2019</v>
      </c>
      <c r="I48">
        <v>0.33150293182701746</v>
      </c>
    </row>
    <row r="49" spans="1:9">
      <c r="A49">
        <v>1</v>
      </c>
      <c r="B49">
        <v>1</v>
      </c>
      <c r="C49" t="s">
        <v>83</v>
      </c>
      <c r="D49" t="s">
        <v>113</v>
      </c>
      <c r="E49" t="s">
        <v>20</v>
      </c>
      <c r="F49" t="s">
        <v>31</v>
      </c>
      <c r="G49" t="s">
        <v>38</v>
      </c>
      <c r="H49">
        <v>2020</v>
      </c>
      <c r="I49">
        <v>0.34664015369544021</v>
      </c>
    </row>
    <row r="50" spans="1:9">
      <c r="A50">
        <v>1</v>
      </c>
      <c r="B50">
        <v>1</v>
      </c>
      <c r="C50" t="s">
        <v>83</v>
      </c>
      <c r="D50" t="s">
        <v>113</v>
      </c>
      <c r="E50" t="s">
        <v>20</v>
      </c>
      <c r="F50" t="s">
        <v>31</v>
      </c>
      <c r="G50" t="s">
        <v>38</v>
      </c>
      <c r="H50">
        <v>2021</v>
      </c>
      <c r="I50">
        <v>0.61588760184769331</v>
      </c>
    </row>
    <row r="51" spans="1:9">
      <c r="A51">
        <v>1</v>
      </c>
      <c r="B51">
        <v>1</v>
      </c>
      <c r="C51" t="s">
        <v>83</v>
      </c>
      <c r="D51" t="s">
        <v>113</v>
      </c>
      <c r="E51" t="s">
        <v>20</v>
      </c>
      <c r="F51" t="s">
        <v>31</v>
      </c>
      <c r="G51" t="s">
        <v>38</v>
      </c>
      <c r="H51">
        <v>2022</v>
      </c>
      <c r="I51">
        <v>0.424511747459628</v>
      </c>
    </row>
    <row r="52" spans="1:9">
      <c r="A52">
        <v>1</v>
      </c>
      <c r="B52">
        <v>1</v>
      </c>
      <c r="C52" t="s">
        <v>83</v>
      </c>
      <c r="D52" t="s">
        <v>113</v>
      </c>
      <c r="E52" t="s">
        <v>20</v>
      </c>
      <c r="F52" t="s">
        <v>31</v>
      </c>
      <c r="G52" t="s">
        <v>38</v>
      </c>
      <c r="H52">
        <v>2023</v>
      </c>
      <c r="I52">
        <v>0.55483031907573677</v>
      </c>
    </row>
    <row r="53" spans="1:9">
      <c r="A53">
        <v>1</v>
      </c>
      <c r="B53">
        <v>1</v>
      </c>
      <c r="C53" t="s">
        <v>83</v>
      </c>
      <c r="D53" t="s">
        <v>113</v>
      </c>
      <c r="E53" t="s">
        <v>20</v>
      </c>
      <c r="F53" t="s">
        <v>31</v>
      </c>
      <c r="G53" t="s">
        <v>38</v>
      </c>
      <c r="H53">
        <v>2024</v>
      </c>
      <c r="I53">
        <v>0.41872236925817435</v>
      </c>
    </row>
    <row r="54" spans="1:9">
      <c r="A54">
        <v>1</v>
      </c>
      <c r="B54">
        <v>1</v>
      </c>
      <c r="C54" t="s">
        <v>83</v>
      </c>
      <c r="D54" t="s">
        <v>113</v>
      </c>
      <c r="E54" t="s">
        <v>20</v>
      </c>
      <c r="F54" t="s">
        <v>31</v>
      </c>
      <c r="G54" t="s">
        <v>38</v>
      </c>
      <c r="H54">
        <v>2025</v>
      </c>
      <c r="I54">
        <v>0.60644636905639204</v>
      </c>
    </row>
    <row r="55" spans="1:9">
      <c r="A55">
        <v>1</v>
      </c>
      <c r="B55">
        <v>1</v>
      </c>
      <c r="C55" t="s">
        <v>83</v>
      </c>
      <c r="D55" t="s">
        <v>113</v>
      </c>
      <c r="E55" t="s">
        <v>20</v>
      </c>
      <c r="F55" t="s">
        <v>31</v>
      </c>
      <c r="G55" t="s">
        <v>38</v>
      </c>
      <c r="H55">
        <v>2026</v>
      </c>
      <c r="I55">
        <v>0.69058954696008024</v>
      </c>
    </row>
    <row r="56" spans="1:9">
      <c r="A56">
        <v>1</v>
      </c>
      <c r="B56">
        <v>1</v>
      </c>
      <c r="C56" t="s">
        <v>83</v>
      </c>
      <c r="D56" t="s">
        <v>113</v>
      </c>
      <c r="E56" t="s">
        <v>20</v>
      </c>
      <c r="F56" t="s">
        <v>31</v>
      </c>
      <c r="G56" t="s">
        <v>38</v>
      </c>
      <c r="H56">
        <v>2027</v>
      </c>
      <c r="I56">
        <v>0.71829288731007346</v>
      </c>
    </row>
    <row r="57" spans="1:9">
      <c r="A57">
        <v>1</v>
      </c>
      <c r="B57">
        <v>1</v>
      </c>
      <c r="C57" t="s">
        <v>83</v>
      </c>
      <c r="D57" t="s">
        <v>113</v>
      </c>
      <c r="E57" t="s">
        <v>20</v>
      </c>
      <c r="F57" t="s">
        <v>31</v>
      </c>
      <c r="G57" t="s">
        <v>38</v>
      </c>
      <c r="H57">
        <v>2028</v>
      </c>
      <c r="I57">
        <v>0.4713386202784382</v>
      </c>
    </row>
    <row r="58" spans="1:9">
      <c r="A58">
        <v>1</v>
      </c>
      <c r="B58">
        <v>1</v>
      </c>
      <c r="C58" t="s">
        <v>83</v>
      </c>
      <c r="D58" t="s">
        <v>113</v>
      </c>
      <c r="E58" t="s">
        <v>20</v>
      </c>
      <c r="F58" t="s">
        <v>31</v>
      </c>
      <c r="G58" t="s">
        <v>38</v>
      </c>
      <c r="H58">
        <v>2029</v>
      </c>
      <c r="I58">
        <v>0.48979982198645272</v>
      </c>
    </row>
    <row r="59" spans="1:9">
      <c r="A59">
        <v>1</v>
      </c>
      <c r="B59">
        <v>1</v>
      </c>
      <c r="C59" t="s">
        <v>83</v>
      </c>
      <c r="D59" t="s">
        <v>113</v>
      </c>
      <c r="E59" t="s">
        <v>20</v>
      </c>
      <c r="F59" t="s">
        <v>31</v>
      </c>
      <c r="G59" t="s">
        <v>38</v>
      </c>
      <c r="H59">
        <v>2030</v>
      </c>
      <c r="I59">
        <v>0.50247829576175462</v>
      </c>
    </row>
    <row r="60" spans="1:9">
      <c r="A60">
        <v>1</v>
      </c>
      <c r="B60">
        <v>1</v>
      </c>
      <c r="C60" t="s">
        <v>83</v>
      </c>
      <c r="D60" t="s">
        <v>113</v>
      </c>
      <c r="E60" t="s">
        <v>20</v>
      </c>
      <c r="F60" t="s">
        <v>31</v>
      </c>
      <c r="G60" t="s">
        <v>38</v>
      </c>
      <c r="H60">
        <v>2031</v>
      </c>
      <c r="I60">
        <v>0.70827774909363761</v>
      </c>
    </row>
    <row r="61" spans="1:9">
      <c r="A61">
        <v>1</v>
      </c>
      <c r="B61">
        <v>1</v>
      </c>
      <c r="C61" t="s">
        <v>83</v>
      </c>
      <c r="D61" t="s">
        <v>113</v>
      </c>
      <c r="E61" t="s">
        <v>20</v>
      </c>
      <c r="F61" t="s">
        <v>31</v>
      </c>
      <c r="G61" t="s">
        <v>38</v>
      </c>
      <c r="H61">
        <v>2032</v>
      </c>
      <c r="I61">
        <v>0.89046896534054232</v>
      </c>
    </row>
    <row r="62" spans="1:9">
      <c r="A62">
        <v>1</v>
      </c>
      <c r="B62">
        <v>1</v>
      </c>
      <c r="C62" t="s">
        <v>83</v>
      </c>
      <c r="D62" t="s">
        <v>113</v>
      </c>
      <c r="E62" t="s">
        <v>23</v>
      </c>
      <c r="F62" t="s">
        <v>32</v>
      </c>
      <c r="G62" t="s">
        <v>37</v>
      </c>
      <c r="H62">
        <v>2018</v>
      </c>
      <c r="I62">
        <v>2.3005008532551674</v>
      </c>
    </row>
    <row r="63" spans="1:9">
      <c r="A63">
        <v>1</v>
      </c>
      <c r="B63">
        <v>1</v>
      </c>
      <c r="C63" t="s">
        <v>83</v>
      </c>
      <c r="D63" t="s">
        <v>113</v>
      </c>
      <c r="E63" t="s">
        <v>23</v>
      </c>
      <c r="F63" t="s">
        <v>32</v>
      </c>
      <c r="G63" t="s">
        <v>37</v>
      </c>
      <c r="H63">
        <v>2019</v>
      </c>
      <c r="I63">
        <v>1.5128256252078445</v>
      </c>
    </row>
    <row r="64" spans="1:9">
      <c r="A64">
        <v>1</v>
      </c>
      <c r="B64">
        <v>1</v>
      </c>
      <c r="C64" t="s">
        <v>83</v>
      </c>
      <c r="D64" t="s">
        <v>113</v>
      </c>
      <c r="E64" t="s">
        <v>23</v>
      </c>
      <c r="F64" t="s">
        <v>32</v>
      </c>
      <c r="G64" t="s">
        <v>37</v>
      </c>
      <c r="H64">
        <v>2020</v>
      </c>
      <c r="I64">
        <v>1.678626608574064</v>
      </c>
    </row>
    <row r="65" spans="1:9">
      <c r="A65">
        <v>1</v>
      </c>
      <c r="B65">
        <v>1</v>
      </c>
      <c r="C65" t="s">
        <v>83</v>
      </c>
      <c r="D65" t="s">
        <v>113</v>
      </c>
      <c r="E65" t="s">
        <v>23</v>
      </c>
      <c r="F65" t="s">
        <v>32</v>
      </c>
      <c r="G65" t="s">
        <v>37</v>
      </c>
      <c r="H65">
        <v>2021</v>
      </c>
      <c r="I65">
        <v>2.826813887472257</v>
      </c>
    </row>
    <row r="66" spans="1:9">
      <c r="A66">
        <v>1</v>
      </c>
      <c r="B66">
        <v>1</v>
      </c>
      <c r="C66" t="s">
        <v>83</v>
      </c>
      <c r="D66" t="s">
        <v>113</v>
      </c>
      <c r="E66" t="s">
        <v>23</v>
      </c>
      <c r="F66" t="s">
        <v>32</v>
      </c>
      <c r="G66" t="s">
        <v>37</v>
      </c>
      <c r="H66">
        <v>2022</v>
      </c>
      <c r="I66">
        <v>2.1131321086194568</v>
      </c>
    </row>
    <row r="67" spans="1:9">
      <c r="A67">
        <v>1</v>
      </c>
      <c r="B67">
        <v>1</v>
      </c>
      <c r="C67" t="s">
        <v>83</v>
      </c>
      <c r="D67" t="s">
        <v>113</v>
      </c>
      <c r="E67" t="s">
        <v>23</v>
      </c>
      <c r="F67" t="s">
        <v>32</v>
      </c>
      <c r="G67" t="s">
        <v>37</v>
      </c>
      <c r="H67">
        <v>2023</v>
      </c>
      <c r="I67">
        <v>1.7752465156134023</v>
      </c>
    </row>
    <row r="68" spans="1:9">
      <c r="A68">
        <v>1</v>
      </c>
      <c r="B68">
        <v>1</v>
      </c>
      <c r="C68" t="s">
        <v>83</v>
      </c>
      <c r="D68" t="s">
        <v>113</v>
      </c>
      <c r="E68" t="s">
        <v>23</v>
      </c>
      <c r="F68" t="s">
        <v>32</v>
      </c>
      <c r="G68" t="s">
        <v>37</v>
      </c>
      <c r="H68">
        <v>2024</v>
      </c>
      <c r="I68">
        <v>1.8625163663416486</v>
      </c>
    </row>
    <row r="69" spans="1:9">
      <c r="A69">
        <v>1</v>
      </c>
      <c r="B69">
        <v>1</v>
      </c>
      <c r="C69" t="s">
        <v>83</v>
      </c>
      <c r="D69" t="s">
        <v>113</v>
      </c>
      <c r="E69" t="s">
        <v>23</v>
      </c>
      <c r="F69" t="s">
        <v>32</v>
      </c>
      <c r="G69" t="s">
        <v>37</v>
      </c>
      <c r="H69">
        <v>2025</v>
      </c>
      <c r="I69">
        <v>1.8361111429481944</v>
      </c>
    </row>
    <row r="70" spans="1:9">
      <c r="A70">
        <v>1</v>
      </c>
      <c r="B70">
        <v>1</v>
      </c>
      <c r="C70" t="s">
        <v>83</v>
      </c>
      <c r="D70" t="s">
        <v>113</v>
      </c>
      <c r="E70" t="s">
        <v>23</v>
      </c>
      <c r="F70" t="s">
        <v>32</v>
      </c>
      <c r="G70" t="s">
        <v>37</v>
      </c>
      <c r="H70">
        <v>2026</v>
      </c>
      <c r="I70">
        <v>1.8749069888065635</v>
      </c>
    </row>
    <row r="71" spans="1:9">
      <c r="A71">
        <v>1</v>
      </c>
      <c r="B71">
        <v>1</v>
      </c>
      <c r="C71" t="s">
        <v>83</v>
      </c>
      <c r="D71" t="s">
        <v>113</v>
      </c>
      <c r="E71" t="s">
        <v>23</v>
      </c>
      <c r="F71" t="s">
        <v>32</v>
      </c>
      <c r="G71" t="s">
        <v>37</v>
      </c>
      <c r="H71">
        <v>2027</v>
      </c>
      <c r="I71">
        <v>3.2719214673734527</v>
      </c>
    </row>
    <row r="72" spans="1:9">
      <c r="A72">
        <v>1</v>
      </c>
      <c r="B72">
        <v>1</v>
      </c>
      <c r="C72" t="s">
        <v>83</v>
      </c>
      <c r="D72" t="s">
        <v>113</v>
      </c>
      <c r="E72" t="s">
        <v>23</v>
      </c>
      <c r="F72" t="s">
        <v>32</v>
      </c>
      <c r="G72" t="s">
        <v>37</v>
      </c>
      <c r="H72">
        <v>2028</v>
      </c>
      <c r="I72">
        <v>3.6258170014443412</v>
      </c>
    </row>
    <row r="73" spans="1:9">
      <c r="A73">
        <v>1</v>
      </c>
      <c r="B73">
        <v>1</v>
      </c>
      <c r="C73" t="s">
        <v>83</v>
      </c>
      <c r="D73" t="s">
        <v>113</v>
      </c>
      <c r="E73" t="s">
        <v>23</v>
      </c>
      <c r="F73" t="s">
        <v>32</v>
      </c>
      <c r="G73" t="s">
        <v>37</v>
      </c>
      <c r="H73">
        <v>2029</v>
      </c>
      <c r="I73">
        <v>2.6557401925663751</v>
      </c>
    </row>
    <row r="74" spans="1:9">
      <c r="A74">
        <v>1</v>
      </c>
      <c r="B74">
        <v>1</v>
      </c>
      <c r="C74" t="s">
        <v>83</v>
      </c>
      <c r="D74" t="s">
        <v>113</v>
      </c>
      <c r="E74" t="s">
        <v>23</v>
      </c>
      <c r="F74" t="s">
        <v>32</v>
      </c>
      <c r="G74" t="s">
        <v>37</v>
      </c>
      <c r="H74">
        <v>2030</v>
      </c>
      <c r="I74">
        <v>3.3491855032587212</v>
      </c>
    </row>
    <row r="75" spans="1:9">
      <c r="A75">
        <v>1</v>
      </c>
      <c r="B75">
        <v>1</v>
      </c>
      <c r="C75" t="s">
        <v>83</v>
      </c>
      <c r="D75" t="s">
        <v>113</v>
      </c>
      <c r="E75" t="s">
        <v>23</v>
      </c>
      <c r="F75" t="s">
        <v>32</v>
      </c>
      <c r="G75" t="s">
        <v>37</v>
      </c>
      <c r="H75">
        <v>2031</v>
      </c>
      <c r="I75">
        <v>2.0483979401514403</v>
      </c>
    </row>
    <row r="76" spans="1:9">
      <c r="A76">
        <v>1</v>
      </c>
      <c r="B76">
        <v>1</v>
      </c>
      <c r="C76" t="s">
        <v>83</v>
      </c>
      <c r="D76" t="s">
        <v>113</v>
      </c>
      <c r="E76" t="s">
        <v>23</v>
      </c>
      <c r="F76" t="s">
        <v>32</v>
      </c>
      <c r="G76" t="s">
        <v>37</v>
      </c>
      <c r="H76">
        <v>2032</v>
      </c>
      <c r="I76">
        <v>3.8330615364808827</v>
      </c>
    </row>
    <row r="77" spans="1:9">
      <c r="A77">
        <v>1</v>
      </c>
      <c r="B77">
        <v>1</v>
      </c>
      <c r="C77" t="s">
        <v>83</v>
      </c>
      <c r="D77" t="s">
        <v>113</v>
      </c>
      <c r="E77" t="s">
        <v>23</v>
      </c>
      <c r="F77" t="s">
        <v>32</v>
      </c>
      <c r="G77" t="s">
        <v>38</v>
      </c>
      <c r="H77">
        <v>2018</v>
      </c>
      <c r="I77">
        <v>1.0041945670416088</v>
      </c>
    </row>
    <row r="78" spans="1:9">
      <c r="A78">
        <v>1</v>
      </c>
      <c r="B78">
        <v>1</v>
      </c>
      <c r="C78" t="s">
        <v>83</v>
      </c>
      <c r="D78" t="s">
        <v>113</v>
      </c>
      <c r="E78" t="s">
        <v>23</v>
      </c>
      <c r="F78" t="s">
        <v>32</v>
      </c>
      <c r="G78" t="s">
        <v>38</v>
      </c>
      <c r="H78">
        <v>2019</v>
      </c>
      <c r="I78">
        <v>0.85902168875225393</v>
      </c>
    </row>
    <row r="79" spans="1:9">
      <c r="A79">
        <v>1</v>
      </c>
      <c r="B79">
        <v>1</v>
      </c>
      <c r="C79" t="s">
        <v>83</v>
      </c>
      <c r="D79" t="s">
        <v>113</v>
      </c>
      <c r="E79" t="s">
        <v>23</v>
      </c>
      <c r="F79" t="s">
        <v>32</v>
      </c>
      <c r="G79" t="s">
        <v>38</v>
      </c>
      <c r="H79">
        <v>2020</v>
      </c>
      <c r="I79">
        <v>1.2511498596556114</v>
      </c>
    </row>
    <row r="80" spans="1:9">
      <c r="A80">
        <v>1</v>
      </c>
      <c r="B80">
        <v>1</v>
      </c>
      <c r="C80" t="s">
        <v>83</v>
      </c>
      <c r="D80" t="s">
        <v>113</v>
      </c>
      <c r="E80" t="s">
        <v>23</v>
      </c>
      <c r="F80" t="s">
        <v>32</v>
      </c>
      <c r="G80" t="s">
        <v>38</v>
      </c>
      <c r="H80">
        <v>2021</v>
      </c>
      <c r="I80">
        <v>1.4344066780193026</v>
      </c>
    </row>
    <row r="81" spans="1:9">
      <c r="A81">
        <v>1</v>
      </c>
      <c r="B81">
        <v>1</v>
      </c>
      <c r="C81" t="s">
        <v>83</v>
      </c>
      <c r="D81" t="s">
        <v>113</v>
      </c>
      <c r="E81" t="s">
        <v>23</v>
      </c>
      <c r="F81" t="s">
        <v>32</v>
      </c>
      <c r="G81" t="s">
        <v>38</v>
      </c>
      <c r="H81">
        <v>2022</v>
      </c>
      <c r="I81">
        <v>0.73235108853178399</v>
      </c>
    </row>
    <row r="82" spans="1:9">
      <c r="A82">
        <v>1</v>
      </c>
      <c r="B82">
        <v>1</v>
      </c>
      <c r="C82" t="s">
        <v>83</v>
      </c>
      <c r="D82" t="s">
        <v>113</v>
      </c>
      <c r="E82" t="s">
        <v>23</v>
      </c>
      <c r="F82" t="s">
        <v>32</v>
      </c>
      <c r="G82" t="s">
        <v>38</v>
      </c>
      <c r="H82">
        <v>2023</v>
      </c>
      <c r="I82">
        <v>1.286376096841455</v>
      </c>
    </row>
    <row r="83" spans="1:9">
      <c r="A83">
        <v>1</v>
      </c>
      <c r="B83">
        <v>1</v>
      </c>
      <c r="C83" t="s">
        <v>83</v>
      </c>
      <c r="D83" t="s">
        <v>113</v>
      </c>
      <c r="E83" t="s">
        <v>23</v>
      </c>
      <c r="F83" t="s">
        <v>32</v>
      </c>
      <c r="G83" t="s">
        <v>38</v>
      </c>
      <c r="H83">
        <v>2024</v>
      </c>
      <c r="I83">
        <v>1.2328982296413535</v>
      </c>
    </row>
    <row r="84" spans="1:9">
      <c r="A84">
        <v>1</v>
      </c>
      <c r="B84">
        <v>1</v>
      </c>
      <c r="C84" t="s">
        <v>83</v>
      </c>
      <c r="D84" t="s">
        <v>113</v>
      </c>
      <c r="E84" t="s">
        <v>23</v>
      </c>
      <c r="F84" t="s">
        <v>32</v>
      </c>
      <c r="G84" t="s">
        <v>38</v>
      </c>
      <c r="H84">
        <v>2025</v>
      </c>
      <c r="I84">
        <v>1.0693048157797869</v>
      </c>
    </row>
    <row r="85" spans="1:9">
      <c r="A85">
        <v>1</v>
      </c>
      <c r="B85">
        <v>1</v>
      </c>
      <c r="C85" t="s">
        <v>83</v>
      </c>
      <c r="D85" t="s">
        <v>113</v>
      </c>
      <c r="E85" t="s">
        <v>23</v>
      </c>
      <c r="F85" t="s">
        <v>32</v>
      </c>
      <c r="G85" t="s">
        <v>38</v>
      </c>
      <c r="H85">
        <v>2026</v>
      </c>
      <c r="I85">
        <v>1.483408040751623</v>
      </c>
    </row>
    <row r="86" spans="1:9">
      <c r="A86">
        <v>1</v>
      </c>
      <c r="B86">
        <v>1</v>
      </c>
      <c r="C86" t="s">
        <v>83</v>
      </c>
      <c r="D86" t="s">
        <v>113</v>
      </c>
      <c r="E86" t="s">
        <v>23</v>
      </c>
      <c r="F86" t="s">
        <v>32</v>
      </c>
      <c r="G86" t="s">
        <v>38</v>
      </c>
      <c r="H86">
        <v>2027</v>
      </c>
      <c r="I86">
        <v>1.2442742165587872</v>
      </c>
    </row>
    <row r="87" spans="1:9">
      <c r="A87">
        <v>1</v>
      </c>
      <c r="B87">
        <v>1</v>
      </c>
      <c r="C87" t="s">
        <v>83</v>
      </c>
      <c r="D87" t="s">
        <v>113</v>
      </c>
      <c r="E87" t="s">
        <v>23</v>
      </c>
      <c r="F87" t="s">
        <v>32</v>
      </c>
      <c r="G87" t="s">
        <v>38</v>
      </c>
      <c r="H87">
        <v>2028</v>
      </c>
      <c r="I87">
        <v>1.5277940265016987</v>
      </c>
    </row>
    <row r="88" spans="1:9">
      <c r="A88">
        <v>1</v>
      </c>
      <c r="B88">
        <v>1</v>
      </c>
      <c r="C88" t="s">
        <v>83</v>
      </c>
      <c r="D88" t="s">
        <v>113</v>
      </c>
      <c r="E88" t="s">
        <v>23</v>
      </c>
      <c r="F88" t="s">
        <v>32</v>
      </c>
      <c r="G88" t="s">
        <v>38</v>
      </c>
      <c r="H88">
        <v>2029</v>
      </c>
      <c r="I88">
        <v>1.0105008431082478</v>
      </c>
    </row>
    <row r="89" spans="1:9">
      <c r="A89">
        <v>1</v>
      </c>
      <c r="B89">
        <v>1</v>
      </c>
      <c r="C89" t="s">
        <v>83</v>
      </c>
      <c r="D89" t="s">
        <v>113</v>
      </c>
      <c r="E89" t="s">
        <v>23</v>
      </c>
      <c r="F89" t="s">
        <v>32</v>
      </c>
      <c r="G89" t="s">
        <v>38</v>
      </c>
      <c r="H89">
        <v>2030</v>
      </c>
      <c r="I89">
        <v>1.2860876679370112</v>
      </c>
    </row>
    <row r="90" spans="1:9">
      <c r="A90">
        <v>1</v>
      </c>
      <c r="B90">
        <v>1</v>
      </c>
      <c r="C90" t="s">
        <v>83</v>
      </c>
      <c r="D90" t="s">
        <v>113</v>
      </c>
      <c r="E90" t="s">
        <v>23</v>
      </c>
      <c r="F90" t="s">
        <v>32</v>
      </c>
      <c r="G90" t="s">
        <v>38</v>
      </c>
      <c r="H90">
        <v>2031</v>
      </c>
      <c r="I90">
        <v>1.0200518159072793</v>
      </c>
    </row>
    <row r="91" spans="1:9">
      <c r="A91">
        <v>1</v>
      </c>
      <c r="B91">
        <v>1</v>
      </c>
      <c r="C91" t="s">
        <v>83</v>
      </c>
      <c r="D91" t="s">
        <v>113</v>
      </c>
      <c r="E91" t="s">
        <v>23</v>
      </c>
      <c r="F91" t="s">
        <v>32</v>
      </c>
      <c r="G91" t="s">
        <v>38</v>
      </c>
      <c r="H91">
        <v>2032</v>
      </c>
      <c r="I91">
        <v>2.0638143442153134</v>
      </c>
    </row>
    <row r="92" spans="1:9">
      <c r="A92">
        <v>1</v>
      </c>
      <c r="B92">
        <v>1</v>
      </c>
      <c r="C92" t="s">
        <v>83</v>
      </c>
      <c r="D92" t="s">
        <v>114</v>
      </c>
      <c r="E92" t="s">
        <v>25</v>
      </c>
      <c r="F92" t="s">
        <v>115</v>
      </c>
      <c r="G92" t="s">
        <v>37</v>
      </c>
      <c r="H92">
        <v>2018</v>
      </c>
      <c r="I92">
        <v>2.0972013161183689</v>
      </c>
    </row>
    <row r="93" spans="1:9">
      <c r="A93">
        <v>1</v>
      </c>
      <c r="B93">
        <v>1</v>
      </c>
      <c r="C93" t="s">
        <v>83</v>
      </c>
      <c r="D93" t="s">
        <v>114</v>
      </c>
      <c r="E93" t="s">
        <v>25</v>
      </c>
      <c r="F93" t="s">
        <v>115</v>
      </c>
      <c r="G93" t="s">
        <v>37</v>
      </c>
      <c r="H93">
        <v>2019</v>
      </c>
      <c r="I93">
        <v>1.7734213039543678</v>
      </c>
    </row>
    <row r="94" spans="1:9">
      <c r="A94">
        <v>1</v>
      </c>
      <c r="B94">
        <v>1</v>
      </c>
      <c r="C94" t="s">
        <v>83</v>
      </c>
      <c r="D94" t="s">
        <v>114</v>
      </c>
      <c r="E94" t="s">
        <v>25</v>
      </c>
      <c r="F94" t="s">
        <v>115</v>
      </c>
      <c r="G94" t="s">
        <v>37</v>
      </c>
      <c r="H94">
        <v>2020</v>
      </c>
      <c r="I94">
        <v>1.9189651549350912</v>
      </c>
    </row>
    <row r="95" spans="1:9">
      <c r="A95">
        <v>1</v>
      </c>
      <c r="B95">
        <v>1</v>
      </c>
      <c r="C95" t="s">
        <v>83</v>
      </c>
      <c r="D95" t="s">
        <v>114</v>
      </c>
      <c r="E95" t="s">
        <v>25</v>
      </c>
      <c r="F95" t="s">
        <v>115</v>
      </c>
      <c r="G95" t="s">
        <v>37</v>
      </c>
      <c r="H95">
        <v>2021</v>
      </c>
      <c r="I95">
        <v>2.9694204006513569</v>
      </c>
    </row>
    <row r="96" spans="1:9">
      <c r="A96">
        <v>1</v>
      </c>
      <c r="B96">
        <v>1</v>
      </c>
      <c r="C96" t="s">
        <v>83</v>
      </c>
      <c r="D96" t="s">
        <v>114</v>
      </c>
      <c r="E96" t="s">
        <v>25</v>
      </c>
      <c r="F96" t="s">
        <v>115</v>
      </c>
      <c r="G96" t="s">
        <v>37</v>
      </c>
      <c r="H96">
        <v>2022</v>
      </c>
      <c r="I96">
        <v>2.6697250543868325</v>
      </c>
    </row>
    <row r="97" spans="1:9">
      <c r="A97">
        <v>1</v>
      </c>
      <c r="B97">
        <v>1</v>
      </c>
      <c r="C97" t="s">
        <v>83</v>
      </c>
      <c r="D97" t="s">
        <v>114</v>
      </c>
      <c r="E97" t="s">
        <v>25</v>
      </c>
      <c r="F97" t="s">
        <v>115</v>
      </c>
      <c r="G97" t="s">
        <v>37</v>
      </c>
      <c r="H97">
        <v>2023</v>
      </c>
      <c r="I97">
        <v>2.5119388863508743</v>
      </c>
    </row>
    <row r="98" spans="1:9">
      <c r="A98">
        <v>1</v>
      </c>
      <c r="B98">
        <v>1</v>
      </c>
      <c r="C98" t="s">
        <v>83</v>
      </c>
      <c r="D98" t="s">
        <v>114</v>
      </c>
      <c r="E98" t="s">
        <v>25</v>
      </c>
      <c r="F98" t="s">
        <v>115</v>
      </c>
      <c r="G98" t="s">
        <v>37</v>
      </c>
      <c r="H98">
        <v>2024</v>
      </c>
      <c r="I98">
        <v>2.7469455892544197</v>
      </c>
    </row>
    <row r="99" spans="1:9">
      <c r="A99">
        <v>1</v>
      </c>
      <c r="B99">
        <v>1</v>
      </c>
      <c r="C99" t="s">
        <v>83</v>
      </c>
      <c r="D99" t="s">
        <v>114</v>
      </c>
      <c r="E99" t="s">
        <v>25</v>
      </c>
      <c r="F99" t="s">
        <v>115</v>
      </c>
      <c r="G99" t="s">
        <v>37</v>
      </c>
      <c r="H99">
        <v>2025</v>
      </c>
      <c r="I99">
        <v>2.2354711360274551</v>
      </c>
    </row>
    <row r="100" spans="1:9">
      <c r="A100">
        <v>1</v>
      </c>
      <c r="B100">
        <v>1</v>
      </c>
      <c r="C100" t="s">
        <v>83</v>
      </c>
      <c r="D100" t="s">
        <v>114</v>
      </c>
      <c r="E100" t="s">
        <v>25</v>
      </c>
      <c r="F100" t="s">
        <v>115</v>
      </c>
      <c r="G100" t="s">
        <v>37</v>
      </c>
      <c r="H100">
        <v>2026</v>
      </c>
      <c r="I100">
        <v>3.375240449988909</v>
      </c>
    </row>
    <row r="101" spans="1:9">
      <c r="A101">
        <v>1</v>
      </c>
      <c r="B101">
        <v>1</v>
      </c>
      <c r="C101" t="s">
        <v>83</v>
      </c>
      <c r="D101" t="s">
        <v>114</v>
      </c>
      <c r="E101" t="s">
        <v>25</v>
      </c>
      <c r="F101" t="s">
        <v>115</v>
      </c>
      <c r="G101" t="s">
        <v>37</v>
      </c>
      <c r="H101">
        <v>2027</v>
      </c>
      <c r="I101">
        <v>2.3289501132622306</v>
      </c>
    </row>
    <row r="102" spans="1:9">
      <c r="A102">
        <v>1</v>
      </c>
      <c r="B102">
        <v>1</v>
      </c>
      <c r="C102" t="s">
        <v>83</v>
      </c>
      <c r="D102" t="s">
        <v>114</v>
      </c>
      <c r="E102" t="s">
        <v>25</v>
      </c>
      <c r="F102" t="s">
        <v>115</v>
      </c>
      <c r="G102" t="s">
        <v>37</v>
      </c>
      <c r="H102">
        <v>2028</v>
      </c>
      <c r="I102">
        <v>3.6439928765948171</v>
      </c>
    </row>
    <row r="103" spans="1:9">
      <c r="A103">
        <v>1</v>
      </c>
      <c r="B103">
        <v>1</v>
      </c>
      <c r="C103" t="s">
        <v>83</v>
      </c>
      <c r="D103" t="s">
        <v>114</v>
      </c>
      <c r="E103" t="s">
        <v>25</v>
      </c>
      <c r="F103" t="s">
        <v>115</v>
      </c>
      <c r="G103" t="s">
        <v>37</v>
      </c>
      <c r="H103">
        <v>2029</v>
      </c>
      <c r="I103">
        <v>3.172413288929925</v>
      </c>
    </row>
    <row r="104" spans="1:9">
      <c r="A104">
        <v>1</v>
      </c>
      <c r="B104">
        <v>1</v>
      </c>
      <c r="C104" t="s">
        <v>83</v>
      </c>
      <c r="D104" t="s">
        <v>114</v>
      </c>
      <c r="E104" t="s">
        <v>25</v>
      </c>
      <c r="F104" t="s">
        <v>115</v>
      </c>
      <c r="G104" t="s">
        <v>37</v>
      </c>
      <c r="H104">
        <v>2030</v>
      </c>
      <c r="I104">
        <v>2.8546137644524006</v>
      </c>
    </row>
    <row r="105" spans="1:9">
      <c r="A105">
        <v>1</v>
      </c>
      <c r="B105">
        <v>1</v>
      </c>
      <c r="C105" t="s">
        <v>83</v>
      </c>
      <c r="D105" t="s">
        <v>114</v>
      </c>
      <c r="E105" t="s">
        <v>25</v>
      </c>
      <c r="F105" t="s">
        <v>115</v>
      </c>
      <c r="G105" t="s">
        <v>37</v>
      </c>
      <c r="H105">
        <v>2031</v>
      </c>
      <c r="I105">
        <v>3.5648828864259965</v>
      </c>
    </row>
    <row r="106" spans="1:9">
      <c r="A106">
        <v>1</v>
      </c>
      <c r="B106">
        <v>1</v>
      </c>
      <c r="C106" t="s">
        <v>83</v>
      </c>
      <c r="D106" t="s">
        <v>114</v>
      </c>
      <c r="E106" t="s">
        <v>25</v>
      </c>
      <c r="F106" t="s">
        <v>115</v>
      </c>
      <c r="G106" t="s">
        <v>37</v>
      </c>
      <c r="H106">
        <v>2032</v>
      </c>
      <c r="I106">
        <v>3.2349451403213596</v>
      </c>
    </row>
    <row r="107" spans="1:9">
      <c r="A107">
        <v>1</v>
      </c>
      <c r="B107">
        <v>1</v>
      </c>
      <c r="C107" t="s">
        <v>83</v>
      </c>
      <c r="D107" t="s">
        <v>114</v>
      </c>
      <c r="E107" t="s">
        <v>25</v>
      </c>
      <c r="F107" t="s">
        <v>115</v>
      </c>
      <c r="G107" t="s">
        <v>38</v>
      </c>
      <c r="H107">
        <v>2018</v>
      </c>
      <c r="I107">
        <v>1.041558590960602</v>
      </c>
    </row>
    <row r="108" spans="1:9">
      <c r="A108">
        <v>1</v>
      </c>
      <c r="B108">
        <v>1</v>
      </c>
      <c r="C108" t="s">
        <v>83</v>
      </c>
      <c r="D108" t="s">
        <v>114</v>
      </c>
      <c r="E108" t="s">
        <v>25</v>
      </c>
      <c r="F108" t="s">
        <v>115</v>
      </c>
      <c r="G108" t="s">
        <v>38</v>
      </c>
      <c r="H108">
        <v>2019</v>
      </c>
      <c r="I108">
        <v>1.1804308480749974</v>
      </c>
    </row>
    <row r="109" spans="1:9">
      <c r="A109">
        <v>1</v>
      </c>
      <c r="B109">
        <v>1</v>
      </c>
      <c r="C109" t="s">
        <v>83</v>
      </c>
      <c r="D109" t="s">
        <v>114</v>
      </c>
      <c r="E109" t="s">
        <v>25</v>
      </c>
      <c r="F109" t="s">
        <v>115</v>
      </c>
      <c r="G109" t="s">
        <v>38</v>
      </c>
      <c r="H109">
        <v>2020</v>
      </c>
      <c r="I109">
        <v>0.76046178539102705</v>
      </c>
    </row>
    <row r="110" spans="1:9">
      <c r="A110">
        <v>1</v>
      </c>
      <c r="B110">
        <v>1</v>
      </c>
      <c r="C110" t="s">
        <v>83</v>
      </c>
      <c r="D110" t="s">
        <v>114</v>
      </c>
      <c r="E110" t="s">
        <v>25</v>
      </c>
      <c r="F110" t="s">
        <v>115</v>
      </c>
      <c r="G110" t="s">
        <v>38</v>
      </c>
      <c r="H110">
        <v>2021</v>
      </c>
      <c r="I110">
        <v>1.0337345520674694</v>
      </c>
    </row>
    <row r="111" spans="1:9">
      <c r="A111">
        <v>1</v>
      </c>
      <c r="B111">
        <v>1</v>
      </c>
      <c r="C111" t="s">
        <v>83</v>
      </c>
      <c r="D111" t="s">
        <v>114</v>
      </c>
      <c r="E111" t="s">
        <v>25</v>
      </c>
      <c r="F111" t="s">
        <v>115</v>
      </c>
      <c r="G111" t="s">
        <v>38</v>
      </c>
      <c r="H111">
        <v>2022</v>
      </c>
      <c r="I111">
        <v>1.0451201062538231</v>
      </c>
    </row>
    <row r="112" spans="1:9">
      <c r="A112">
        <v>1</v>
      </c>
      <c r="B112">
        <v>1</v>
      </c>
      <c r="C112" t="s">
        <v>83</v>
      </c>
      <c r="D112" t="s">
        <v>114</v>
      </c>
      <c r="E112" t="s">
        <v>25</v>
      </c>
      <c r="F112" t="s">
        <v>115</v>
      </c>
      <c r="G112" t="s">
        <v>38</v>
      </c>
      <c r="H112">
        <v>2023</v>
      </c>
      <c r="I112">
        <v>0.79857080771454725</v>
      </c>
    </row>
    <row r="113" spans="1:9">
      <c r="A113">
        <v>1</v>
      </c>
      <c r="B113">
        <v>1</v>
      </c>
      <c r="C113" t="s">
        <v>83</v>
      </c>
      <c r="D113" t="s">
        <v>114</v>
      </c>
      <c r="E113" t="s">
        <v>25</v>
      </c>
      <c r="F113" t="s">
        <v>115</v>
      </c>
      <c r="G113" t="s">
        <v>38</v>
      </c>
      <c r="H113">
        <v>2024</v>
      </c>
      <c r="I113">
        <v>0.97043531734736832</v>
      </c>
    </row>
    <row r="114" spans="1:9">
      <c r="A114">
        <v>1</v>
      </c>
      <c r="B114">
        <v>1</v>
      </c>
      <c r="C114" t="s">
        <v>83</v>
      </c>
      <c r="D114" t="s">
        <v>114</v>
      </c>
      <c r="E114" t="s">
        <v>25</v>
      </c>
      <c r="F114" t="s">
        <v>115</v>
      </c>
      <c r="G114" t="s">
        <v>38</v>
      </c>
      <c r="H114">
        <v>2025</v>
      </c>
      <c r="I114">
        <v>0.86369376813639398</v>
      </c>
    </row>
    <row r="115" spans="1:9">
      <c r="A115">
        <v>1</v>
      </c>
      <c r="B115">
        <v>1</v>
      </c>
      <c r="C115" t="s">
        <v>83</v>
      </c>
      <c r="D115" t="s">
        <v>114</v>
      </c>
      <c r="E115" t="s">
        <v>25</v>
      </c>
      <c r="F115" t="s">
        <v>115</v>
      </c>
      <c r="G115" t="s">
        <v>38</v>
      </c>
      <c r="H115">
        <v>2026</v>
      </c>
      <c r="I115">
        <v>1.4890308031480937</v>
      </c>
    </row>
    <row r="116" spans="1:9">
      <c r="A116">
        <v>1</v>
      </c>
      <c r="B116">
        <v>1</v>
      </c>
      <c r="C116" t="s">
        <v>83</v>
      </c>
      <c r="D116" t="s">
        <v>114</v>
      </c>
      <c r="E116" t="s">
        <v>25</v>
      </c>
      <c r="F116" t="s">
        <v>115</v>
      </c>
      <c r="G116" t="s">
        <v>38</v>
      </c>
      <c r="H116">
        <v>2027</v>
      </c>
      <c r="I116">
        <v>1.6456306827874305</v>
      </c>
    </row>
    <row r="117" spans="1:9">
      <c r="A117">
        <v>1</v>
      </c>
      <c r="B117">
        <v>1</v>
      </c>
      <c r="C117" t="s">
        <v>83</v>
      </c>
      <c r="D117" t="s">
        <v>114</v>
      </c>
      <c r="E117" t="s">
        <v>25</v>
      </c>
      <c r="F117" t="s">
        <v>115</v>
      </c>
      <c r="G117" t="s">
        <v>38</v>
      </c>
      <c r="H117">
        <v>2028</v>
      </c>
      <c r="I117">
        <v>1.7525834369153424</v>
      </c>
    </row>
    <row r="118" spans="1:9">
      <c r="A118">
        <v>1</v>
      </c>
      <c r="B118">
        <v>1</v>
      </c>
      <c r="C118" t="s">
        <v>83</v>
      </c>
      <c r="D118" t="s">
        <v>114</v>
      </c>
      <c r="E118" t="s">
        <v>25</v>
      </c>
      <c r="F118" t="s">
        <v>115</v>
      </c>
      <c r="G118" t="s">
        <v>38</v>
      </c>
      <c r="H118">
        <v>2029</v>
      </c>
      <c r="I118">
        <v>1.3994816551107709</v>
      </c>
    </row>
    <row r="119" spans="1:9">
      <c r="A119">
        <v>1</v>
      </c>
      <c r="B119">
        <v>1</v>
      </c>
      <c r="C119" t="s">
        <v>83</v>
      </c>
      <c r="D119" t="s">
        <v>114</v>
      </c>
      <c r="E119" t="s">
        <v>25</v>
      </c>
      <c r="F119" t="s">
        <v>115</v>
      </c>
      <c r="G119" t="s">
        <v>38</v>
      </c>
      <c r="H119">
        <v>2030</v>
      </c>
      <c r="I119">
        <v>1.8684125324503049</v>
      </c>
    </row>
    <row r="120" spans="1:9">
      <c r="A120">
        <v>1</v>
      </c>
      <c r="B120">
        <v>1</v>
      </c>
      <c r="C120" t="s">
        <v>83</v>
      </c>
      <c r="D120" t="s">
        <v>114</v>
      </c>
      <c r="E120" t="s">
        <v>25</v>
      </c>
      <c r="F120" t="s">
        <v>115</v>
      </c>
      <c r="G120" t="s">
        <v>38</v>
      </c>
      <c r="H120">
        <v>2031</v>
      </c>
      <c r="I120">
        <v>1.6396589289918617</v>
      </c>
    </row>
    <row r="121" spans="1:9">
      <c r="A121">
        <v>1</v>
      </c>
      <c r="B121">
        <v>1</v>
      </c>
      <c r="C121" t="s">
        <v>83</v>
      </c>
      <c r="D121" t="s">
        <v>114</v>
      </c>
      <c r="E121" t="s">
        <v>25</v>
      </c>
      <c r="F121" t="s">
        <v>115</v>
      </c>
      <c r="G121" t="s">
        <v>38</v>
      </c>
      <c r="H121">
        <v>2032</v>
      </c>
      <c r="I121">
        <v>1.5985577051326145</v>
      </c>
    </row>
    <row r="122" spans="1:9">
      <c r="A122">
        <v>1</v>
      </c>
      <c r="B122">
        <v>1</v>
      </c>
      <c r="C122" t="s">
        <v>83</v>
      </c>
      <c r="D122" t="s">
        <v>114</v>
      </c>
      <c r="E122" t="s">
        <v>25</v>
      </c>
      <c r="F122" t="s">
        <v>116</v>
      </c>
      <c r="G122" t="s">
        <v>37</v>
      </c>
      <c r="H122">
        <v>2018</v>
      </c>
      <c r="I122">
        <v>0.61353953637689695</v>
      </c>
    </row>
    <row r="123" spans="1:9">
      <c r="A123">
        <v>1</v>
      </c>
      <c r="B123">
        <v>1</v>
      </c>
      <c r="C123" t="s">
        <v>83</v>
      </c>
      <c r="D123" t="s">
        <v>114</v>
      </c>
      <c r="E123" t="s">
        <v>25</v>
      </c>
      <c r="F123" t="s">
        <v>116</v>
      </c>
      <c r="G123" t="s">
        <v>37</v>
      </c>
      <c r="H123">
        <v>2019</v>
      </c>
      <c r="I123">
        <v>1.0610676108332551</v>
      </c>
    </row>
    <row r="124" spans="1:9">
      <c r="A124">
        <v>1</v>
      </c>
      <c r="B124">
        <v>1</v>
      </c>
      <c r="C124" t="s">
        <v>83</v>
      </c>
      <c r="D124" t="s">
        <v>114</v>
      </c>
      <c r="E124" t="s">
        <v>25</v>
      </c>
      <c r="F124" t="s">
        <v>116</v>
      </c>
      <c r="G124" t="s">
        <v>37</v>
      </c>
      <c r="H124">
        <v>2020</v>
      </c>
      <c r="I124">
        <v>0.62581866084031967</v>
      </c>
    </row>
    <row r="125" spans="1:9">
      <c r="A125">
        <v>1</v>
      </c>
      <c r="B125">
        <v>1</v>
      </c>
      <c r="C125" t="s">
        <v>83</v>
      </c>
      <c r="D125" t="s">
        <v>114</v>
      </c>
      <c r="E125" t="s">
        <v>25</v>
      </c>
      <c r="F125" t="s">
        <v>116</v>
      </c>
      <c r="G125" t="s">
        <v>37</v>
      </c>
      <c r="H125">
        <v>2021</v>
      </c>
      <c r="I125">
        <v>0.79429066579303875</v>
      </c>
    </row>
    <row r="126" spans="1:9">
      <c r="A126">
        <v>1</v>
      </c>
      <c r="B126">
        <v>1</v>
      </c>
      <c r="C126" t="s">
        <v>83</v>
      </c>
      <c r="D126" t="s">
        <v>114</v>
      </c>
      <c r="E126" t="s">
        <v>25</v>
      </c>
      <c r="F126" t="s">
        <v>116</v>
      </c>
      <c r="G126" t="s">
        <v>37</v>
      </c>
      <c r="H126">
        <v>2022</v>
      </c>
      <c r="I126">
        <v>1.005385285656998</v>
      </c>
    </row>
    <row r="127" spans="1:9">
      <c r="A127">
        <v>1</v>
      </c>
      <c r="B127">
        <v>1</v>
      </c>
      <c r="C127" t="s">
        <v>83</v>
      </c>
      <c r="D127" t="s">
        <v>114</v>
      </c>
      <c r="E127" t="s">
        <v>25</v>
      </c>
      <c r="F127" t="s">
        <v>116</v>
      </c>
      <c r="G127" t="s">
        <v>37</v>
      </c>
      <c r="H127">
        <v>2023</v>
      </c>
      <c r="I127">
        <v>1.0980562441886632</v>
      </c>
    </row>
    <row r="128" spans="1:9">
      <c r="A128">
        <v>1</v>
      </c>
      <c r="B128">
        <v>1</v>
      </c>
      <c r="C128" t="s">
        <v>83</v>
      </c>
      <c r="D128" t="s">
        <v>114</v>
      </c>
      <c r="E128" t="s">
        <v>25</v>
      </c>
      <c r="F128" t="s">
        <v>116</v>
      </c>
      <c r="G128" t="s">
        <v>37</v>
      </c>
      <c r="H128">
        <v>2024</v>
      </c>
      <c r="I128">
        <v>1.3139751185590318</v>
      </c>
    </row>
    <row r="129" spans="1:9">
      <c r="A129">
        <v>1</v>
      </c>
      <c r="B129">
        <v>1</v>
      </c>
      <c r="C129" t="s">
        <v>83</v>
      </c>
      <c r="D129" t="s">
        <v>114</v>
      </c>
      <c r="E129" t="s">
        <v>25</v>
      </c>
      <c r="F129" t="s">
        <v>116</v>
      </c>
      <c r="G129" t="s">
        <v>37</v>
      </c>
      <c r="H129">
        <v>2025</v>
      </c>
      <c r="I129">
        <v>1.5101190732223735</v>
      </c>
    </row>
    <row r="130" spans="1:9">
      <c r="A130">
        <v>1</v>
      </c>
      <c r="B130">
        <v>1</v>
      </c>
      <c r="C130" t="s">
        <v>83</v>
      </c>
      <c r="D130" t="s">
        <v>114</v>
      </c>
      <c r="E130" t="s">
        <v>25</v>
      </c>
      <c r="F130" t="s">
        <v>116</v>
      </c>
      <c r="G130" t="s">
        <v>37</v>
      </c>
      <c r="H130">
        <v>2026</v>
      </c>
      <c r="I130">
        <v>1.0689017721353455</v>
      </c>
    </row>
    <row r="131" spans="1:9">
      <c r="A131">
        <v>1</v>
      </c>
      <c r="B131">
        <v>1</v>
      </c>
      <c r="C131" t="s">
        <v>83</v>
      </c>
      <c r="D131" t="s">
        <v>114</v>
      </c>
      <c r="E131" t="s">
        <v>25</v>
      </c>
      <c r="F131" t="s">
        <v>116</v>
      </c>
      <c r="G131" t="s">
        <v>37</v>
      </c>
      <c r="H131">
        <v>2027</v>
      </c>
      <c r="I131">
        <v>0.97255264438380962</v>
      </c>
    </row>
    <row r="132" spans="1:9">
      <c r="A132">
        <v>1</v>
      </c>
      <c r="B132">
        <v>1</v>
      </c>
      <c r="C132" t="s">
        <v>83</v>
      </c>
      <c r="D132" t="s">
        <v>114</v>
      </c>
      <c r="E132" t="s">
        <v>25</v>
      </c>
      <c r="F132" t="s">
        <v>116</v>
      </c>
      <c r="G132" t="s">
        <v>37</v>
      </c>
      <c r="H132">
        <v>2028</v>
      </c>
      <c r="I132">
        <v>1.5741494049253379</v>
      </c>
    </row>
    <row r="133" spans="1:9">
      <c r="A133">
        <v>1</v>
      </c>
      <c r="B133">
        <v>1</v>
      </c>
      <c r="C133" t="s">
        <v>83</v>
      </c>
      <c r="D133" t="s">
        <v>114</v>
      </c>
      <c r="E133" t="s">
        <v>25</v>
      </c>
      <c r="F133" t="s">
        <v>116</v>
      </c>
      <c r="G133" t="s">
        <v>37</v>
      </c>
      <c r="H133">
        <v>2029</v>
      </c>
      <c r="I133">
        <v>0.93455337473300093</v>
      </c>
    </row>
    <row r="134" spans="1:9">
      <c r="A134">
        <v>1</v>
      </c>
      <c r="B134">
        <v>1</v>
      </c>
      <c r="C134" t="s">
        <v>83</v>
      </c>
      <c r="D134" t="s">
        <v>114</v>
      </c>
      <c r="E134" t="s">
        <v>25</v>
      </c>
      <c r="F134" t="s">
        <v>116</v>
      </c>
      <c r="G134" t="s">
        <v>37</v>
      </c>
      <c r="H134">
        <v>2030</v>
      </c>
      <c r="I134">
        <v>1.7688135407496044</v>
      </c>
    </row>
    <row r="135" spans="1:9">
      <c r="A135">
        <v>1</v>
      </c>
      <c r="B135">
        <v>1</v>
      </c>
      <c r="C135" t="s">
        <v>83</v>
      </c>
      <c r="D135" t="s">
        <v>114</v>
      </c>
      <c r="E135" t="s">
        <v>25</v>
      </c>
      <c r="F135" t="s">
        <v>116</v>
      </c>
      <c r="G135" t="s">
        <v>37</v>
      </c>
      <c r="H135">
        <v>2031</v>
      </c>
      <c r="I135">
        <v>1.3900295822537521</v>
      </c>
    </row>
    <row r="136" spans="1:9">
      <c r="A136">
        <v>1</v>
      </c>
      <c r="B136">
        <v>1</v>
      </c>
      <c r="C136" t="s">
        <v>83</v>
      </c>
      <c r="D136" t="s">
        <v>114</v>
      </c>
      <c r="E136" t="s">
        <v>25</v>
      </c>
      <c r="F136" t="s">
        <v>116</v>
      </c>
      <c r="G136" t="s">
        <v>37</v>
      </c>
      <c r="H136">
        <v>2032</v>
      </c>
      <c r="I136">
        <v>1.0584263410787296</v>
      </c>
    </row>
    <row r="137" spans="1:9">
      <c r="A137">
        <v>1</v>
      </c>
      <c r="B137">
        <v>1</v>
      </c>
      <c r="C137" t="s">
        <v>83</v>
      </c>
      <c r="D137" t="s">
        <v>114</v>
      </c>
      <c r="E137" t="s">
        <v>25</v>
      </c>
      <c r="F137" t="s">
        <v>116</v>
      </c>
      <c r="G137" t="s">
        <v>38</v>
      </c>
      <c r="H137">
        <v>2018</v>
      </c>
      <c r="I137">
        <v>0.48781377298374895</v>
      </c>
    </row>
    <row r="138" spans="1:9">
      <c r="A138">
        <v>1</v>
      </c>
      <c r="B138">
        <v>1</v>
      </c>
      <c r="C138" t="s">
        <v>83</v>
      </c>
      <c r="D138" t="s">
        <v>114</v>
      </c>
      <c r="E138" t="s">
        <v>25</v>
      </c>
      <c r="F138" t="s">
        <v>116</v>
      </c>
      <c r="G138" t="s">
        <v>38</v>
      </c>
      <c r="H138">
        <v>2019</v>
      </c>
      <c r="I138">
        <v>0.38206527505372373</v>
      </c>
    </row>
    <row r="139" spans="1:9">
      <c r="A139">
        <v>1</v>
      </c>
      <c r="B139">
        <v>1</v>
      </c>
      <c r="C139" t="s">
        <v>83</v>
      </c>
      <c r="D139" t="s">
        <v>114</v>
      </c>
      <c r="E139" t="s">
        <v>25</v>
      </c>
      <c r="F139" t="s">
        <v>116</v>
      </c>
      <c r="G139" t="s">
        <v>38</v>
      </c>
      <c r="H139">
        <v>2020</v>
      </c>
      <c r="I139">
        <v>0.41003531253915154</v>
      </c>
    </row>
    <row r="140" spans="1:9">
      <c r="A140">
        <v>1</v>
      </c>
      <c r="B140">
        <v>1</v>
      </c>
      <c r="C140" t="s">
        <v>83</v>
      </c>
      <c r="D140" t="s">
        <v>114</v>
      </c>
      <c r="E140" t="s">
        <v>25</v>
      </c>
      <c r="F140" t="s">
        <v>116</v>
      </c>
      <c r="G140" t="s">
        <v>38</v>
      </c>
      <c r="H140">
        <v>2021</v>
      </c>
      <c r="I140">
        <v>0.63281595093301402</v>
      </c>
    </row>
    <row r="141" spans="1:9">
      <c r="A141">
        <v>1</v>
      </c>
      <c r="B141">
        <v>1</v>
      </c>
      <c r="C141" t="s">
        <v>83</v>
      </c>
      <c r="D141" t="s">
        <v>114</v>
      </c>
      <c r="E141" t="s">
        <v>25</v>
      </c>
      <c r="F141" t="s">
        <v>116</v>
      </c>
      <c r="G141" t="s">
        <v>38</v>
      </c>
      <c r="H141">
        <v>2022</v>
      </c>
      <c r="I141">
        <v>0.39946483752677175</v>
      </c>
    </row>
    <row r="142" spans="1:9">
      <c r="A142">
        <v>1</v>
      </c>
      <c r="B142">
        <v>1</v>
      </c>
      <c r="C142" t="s">
        <v>83</v>
      </c>
      <c r="D142" t="s">
        <v>114</v>
      </c>
      <c r="E142" t="s">
        <v>25</v>
      </c>
      <c r="F142" t="s">
        <v>116</v>
      </c>
      <c r="G142" t="s">
        <v>38</v>
      </c>
      <c r="H142">
        <v>2023</v>
      </c>
      <c r="I142">
        <v>0.39170107937696463</v>
      </c>
    </row>
    <row r="143" spans="1:9">
      <c r="A143">
        <v>1</v>
      </c>
      <c r="B143">
        <v>1</v>
      </c>
      <c r="C143" t="s">
        <v>83</v>
      </c>
      <c r="D143" t="s">
        <v>114</v>
      </c>
      <c r="E143" t="s">
        <v>25</v>
      </c>
      <c r="F143" t="s">
        <v>116</v>
      </c>
      <c r="G143" t="s">
        <v>38</v>
      </c>
      <c r="H143">
        <v>2024</v>
      </c>
      <c r="I143">
        <v>0.39248288341790238</v>
      </c>
    </row>
    <row r="144" spans="1:9">
      <c r="A144">
        <v>1</v>
      </c>
      <c r="B144">
        <v>1</v>
      </c>
      <c r="C144" t="s">
        <v>83</v>
      </c>
      <c r="D144" t="s">
        <v>114</v>
      </c>
      <c r="E144" t="s">
        <v>25</v>
      </c>
      <c r="F144" t="s">
        <v>116</v>
      </c>
      <c r="G144" t="s">
        <v>38</v>
      </c>
      <c r="H144">
        <v>2025</v>
      </c>
      <c r="I144">
        <v>0.70528270797995818</v>
      </c>
    </row>
    <row r="145" spans="1:9">
      <c r="A145">
        <v>1</v>
      </c>
      <c r="B145">
        <v>1</v>
      </c>
      <c r="C145" t="s">
        <v>83</v>
      </c>
      <c r="D145" t="s">
        <v>114</v>
      </c>
      <c r="E145" t="s">
        <v>25</v>
      </c>
      <c r="F145" t="s">
        <v>116</v>
      </c>
      <c r="G145" t="s">
        <v>38</v>
      </c>
      <c r="H145">
        <v>2026</v>
      </c>
      <c r="I145">
        <v>0.47023884393395915</v>
      </c>
    </row>
    <row r="146" spans="1:9">
      <c r="A146">
        <v>1</v>
      </c>
      <c r="B146">
        <v>1</v>
      </c>
      <c r="C146" t="s">
        <v>83</v>
      </c>
      <c r="D146" t="s">
        <v>114</v>
      </c>
      <c r="E146" t="s">
        <v>25</v>
      </c>
      <c r="F146" t="s">
        <v>116</v>
      </c>
      <c r="G146" t="s">
        <v>38</v>
      </c>
      <c r="H146">
        <v>2027</v>
      </c>
      <c r="I146">
        <v>0.42714872847043117</v>
      </c>
    </row>
    <row r="147" spans="1:9">
      <c r="A147">
        <v>1</v>
      </c>
      <c r="B147">
        <v>1</v>
      </c>
      <c r="C147" t="s">
        <v>83</v>
      </c>
      <c r="D147" t="s">
        <v>114</v>
      </c>
      <c r="E147" t="s">
        <v>25</v>
      </c>
      <c r="F147" t="s">
        <v>116</v>
      </c>
      <c r="G147" t="s">
        <v>38</v>
      </c>
      <c r="H147">
        <v>2028</v>
      </c>
      <c r="I147">
        <v>0.86569427996489035</v>
      </c>
    </row>
    <row r="148" spans="1:9">
      <c r="A148">
        <v>1</v>
      </c>
      <c r="B148">
        <v>1</v>
      </c>
      <c r="C148" t="s">
        <v>83</v>
      </c>
      <c r="D148" t="s">
        <v>114</v>
      </c>
      <c r="E148" t="s">
        <v>25</v>
      </c>
      <c r="F148" t="s">
        <v>116</v>
      </c>
      <c r="G148" t="s">
        <v>38</v>
      </c>
      <c r="H148">
        <v>2029</v>
      </c>
      <c r="I148">
        <v>0.52113604516924417</v>
      </c>
    </row>
    <row r="149" spans="1:9">
      <c r="A149">
        <v>1</v>
      </c>
      <c r="B149">
        <v>1</v>
      </c>
      <c r="C149" t="s">
        <v>83</v>
      </c>
      <c r="D149" t="s">
        <v>114</v>
      </c>
      <c r="E149" t="s">
        <v>25</v>
      </c>
      <c r="F149" t="s">
        <v>116</v>
      </c>
      <c r="G149" t="s">
        <v>38</v>
      </c>
      <c r="H149">
        <v>2030</v>
      </c>
      <c r="I149">
        <v>0.90837958898492621</v>
      </c>
    </row>
    <row r="150" spans="1:9">
      <c r="A150">
        <v>1</v>
      </c>
      <c r="B150">
        <v>1</v>
      </c>
      <c r="C150" t="s">
        <v>83</v>
      </c>
      <c r="D150" t="s">
        <v>114</v>
      </c>
      <c r="E150" t="s">
        <v>25</v>
      </c>
      <c r="F150" t="s">
        <v>116</v>
      </c>
      <c r="G150" t="s">
        <v>38</v>
      </c>
      <c r="H150">
        <v>2031</v>
      </c>
      <c r="I150">
        <v>0.54973937979691345</v>
      </c>
    </row>
    <row r="151" spans="1:9">
      <c r="A151">
        <v>1</v>
      </c>
      <c r="B151">
        <v>1</v>
      </c>
      <c r="C151" t="s">
        <v>83</v>
      </c>
      <c r="D151" t="s">
        <v>114</v>
      </c>
      <c r="E151" t="s">
        <v>25</v>
      </c>
      <c r="F151" t="s">
        <v>116</v>
      </c>
      <c r="G151" t="s">
        <v>38</v>
      </c>
      <c r="H151">
        <v>2032</v>
      </c>
      <c r="I151">
        <v>0.93614611258663782</v>
      </c>
    </row>
    <row r="152" spans="1:9">
      <c r="A152">
        <v>1</v>
      </c>
      <c r="B152">
        <v>1</v>
      </c>
      <c r="C152" t="s">
        <v>83</v>
      </c>
      <c r="D152" t="s">
        <v>114</v>
      </c>
      <c r="E152" t="s">
        <v>25</v>
      </c>
      <c r="F152" t="s">
        <v>117</v>
      </c>
      <c r="G152" t="s">
        <v>37</v>
      </c>
      <c r="H152">
        <v>2018</v>
      </c>
      <c r="I152">
        <v>2.3143613301361263</v>
      </c>
    </row>
    <row r="153" spans="1:9">
      <c r="A153">
        <v>1</v>
      </c>
      <c r="B153">
        <v>1</v>
      </c>
      <c r="C153" t="s">
        <v>83</v>
      </c>
      <c r="D153" t="s">
        <v>114</v>
      </c>
      <c r="E153" t="s">
        <v>25</v>
      </c>
      <c r="F153" t="s">
        <v>117</v>
      </c>
      <c r="G153" t="s">
        <v>37</v>
      </c>
      <c r="H153">
        <v>2019</v>
      </c>
      <c r="I153">
        <v>2.2286851991995205</v>
      </c>
    </row>
    <row r="154" spans="1:9">
      <c r="A154">
        <v>1</v>
      </c>
      <c r="B154">
        <v>1</v>
      </c>
      <c r="C154" t="s">
        <v>83</v>
      </c>
      <c r="D154" t="s">
        <v>114</v>
      </c>
      <c r="E154" t="s">
        <v>25</v>
      </c>
      <c r="F154" t="s">
        <v>117</v>
      </c>
      <c r="G154" t="s">
        <v>37</v>
      </c>
      <c r="H154">
        <v>2020</v>
      </c>
      <c r="I154">
        <v>2.2156132880528285</v>
      </c>
    </row>
    <row r="155" spans="1:9">
      <c r="A155">
        <v>1</v>
      </c>
      <c r="B155">
        <v>1</v>
      </c>
      <c r="C155" t="s">
        <v>83</v>
      </c>
      <c r="D155" t="s">
        <v>114</v>
      </c>
      <c r="E155" t="s">
        <v>25</v>
      </c>
      <c r="F155" t="s">
        <v>117</v>
      </c>
      <c r="G155" t="s">
        <v>37</v>
      </c>
      <c r="H155">
        <v>2021</v>
      </c>
      <c r="I155">
        <v>2.5924913454796936</v>
      </c>
    </row>
    <row r="156" spans="1:9">
      <c r="A156">
        <v>1</v>
      </c>
      <c r="B156">
        <v>1</v>
      </c>
      <c r="C156" t="s">
        <v>83</v>
      </c>
      <c r="D156" t="s">
        <v>114</v>
      </c>
      <c r="E156" t="s">
        <v>25</v>
      </c>
      <c r="F156" t="s">
        <v>117</v>
      </c>
      <c r="G156" t="s">
        <v>37</v>
      </c>
      <c r="H156">
        <v>2022</v>
      </c>
      <c r="I156">
        <v>2.6114906229910138</v>
      </c>
    </row>
    <row r="157" spans="1:9">
      <c r="A157">
        <v>1</v>
      </c>
      <c r="B157">
        <v>1</v>
      </c>
      <c r="C157" t="s">
        <v>83</v>
      </c>
      <c r="D157" t="s">
        <v>114</v>
      </c>
      <c r="E157" t="s">
        <v>25</v>
      </c>
      <c r="F157" t="s">
        <v>117</v>
      </c>
      <c r="G157" t="s">
        <v>37</v>
      </c>
      <c r="H157">
        <v>2023</v>
      </c>
      <c r="I157">
        <v>2.811601816156978</v>
      </c>
    </row>
    <row r="158" spans="1:9">
      <c r="A158">
        <v>1</v>
      </c>
      <c r="B158">
        <v>1</v>
      </c>
      <c r="C158" t="s">
        <v>83</v>
      </c>
      <c r="D158" t="s">
        <v>114</v>
      </c>
      <c r="E158" t="s">
        <v>25</v>
      </c>
      <c r="F158" t="s">
        <v>117</v>
      </c>
      <c r="G158" t="s">
        <v>37</v>
      </c>
      <c r="H158">
        <v>2024</v>
      </c>
      <c r="I158">
        <v>2.8553845340329769</v>
      </c>
    </row>
    <row r="159" spans="1:9">
      <c r="A159">
        <v>1</v>
      </c>
      <c r="B159">
        <v>1</v>
      </c>
      <c r="C159" t="s">
        <v>83</v>
      </c>
      <c r="D159" t="s">
        <v>114</v>
      </c>
      <c r="E159" t="s">
        <v>25</v>
      </c>
      <c r="F159" t="s">
        <v>117</v>
      </c>
      <c r="G159" t="s">
        <v>37</v>
      </c>
      <c r="H159">
        <v>2025</v>
      </c>
      <c r="I159">
        <v>3.0728042791293606</v>
      </c>
    </row>
    <row r="160" spans="1:9">
      <c r="A160">
        <v>1</v>
      </c>
      <c r="B160">
        <v>1</v>
      </c>
      <c r="C160" t="s">
        <v>83</v>
      </c>
      <c r="D160" t="s">
        <v>114</v>
      </c>
      <c r="E160" t="s">
        <v>25</v>
      </c>
      <c r="F160" t="s">
        <v>117</v>
      </c>
      <c r="G160" t="s">
        <v>37</v>
      </c>
      <c r="H160">
        <v>2026</v>
      </c>
      <c r="I160">
        <v>2.8516872074849036</v>
      </c>
    </row>
    <row r="161" spans="1:9">
      <c r="A161">
        <v>1</v>
      </c>
      <c r="B161">
        <v>1</v>
      </c>
      <c r="C161" t="s">
        <v>83</v>
      </c>
      <c r="D161" t="s">
        <v>114</v>
      </c>
      <c r="E161" t="s">
        <v>25</v>
      </c>
      <c r="F161" t="s">
        <v>117</v>
      </c>
      <c r="G161" t="s">
        <v>37</v>
      </c>
      <c r="H161">
        <v>2027</v>
      </c>
      <c r="I161">
        <v>2.9070707363997252</v>
      </c>
    </row>
    <row r="162" spans="1:9">
      <c r="A162">
        <v>1</v>
      </c>
      <c r="B162">
        <v>1</v>
      </c>
      <c r="C162" t="s">
        <v>83</v>
      </c>
      <c r="D162" t="s">
        <v>114</v>
      </c>
      <c r="E162" t="s">
        <v>25</v>
      </c>
      <c r="F162" t="s">
        <v>117</v>
      </c>
      <c r="G162" t="s">
        <v>37</v>
      </c>
      <c r="H162">
        <v>2028</v>
      </c>
      <c r="I162">
        <v>3.3906960922752027</v>
      </c>
    </row>
    <row r="163" spans="1:9">
      <c r="A163">
        <v>1</v>
      </c>
      <c r="B163">
        <v>1</v>
      </c>
      <c r="C163" t="s">
        <v>83</v>
      </c>
      <c r="D163" t="s">
        <v>114</v>
      </c>
      <c r="E163" t="s">
        <v>25</v>
      </c>
      <c r="F163" t="s">
        <v>117</v>
      </c>
      <c r="G163" t="s">
        <v>37</v>
      </c>
      <c r="H163">
        <v>2029</v>
      </c>
      <c r="I163">
        <v>2.7077683683087344</v>
      </c>
    </row>
    <row r="164" spans="1:9">
      <c r="A164">
        <v>1</v>
      </c>
      <c r="B164">
        <v>1</v>
      </c>
      <c r="C164" t="s">
        <v>83</v>
      </c>
      <c r="D164" t="s">
        <v>114</v>
      </c>
      <c r="E164" t="s">
        <v>25</v>
      </c>
      <c r="F164" t="s">
        <v>117</v>
      </c>
      <c r="G164" t="s">
        <v>37</v>
      </c>
      <c r="H164">
        <v>2030</v>
      </c>
      <c r="I164">
        <v>1.9579346941676354</v>
      </c>
    </row>
    <row r="165" spans="1:9">
      <c r="A165">
        <v>1</v>
      </c>
      <c r="B165">
        <v>1</v>
      </c>
      <c r="C165" t="s">
        <v>83</v>
      </c>
      <c r="D165" t="s">
        <v>114</v>
      </c>
      <c r="E165" t="s">
        <v>25</v>
      </c>
      <c r="F165" t="s">
        <v>117</v>
      </c>
      <c r="G165" t="s">
        <v>37</v>
      </c>
      <c r="H165">
        <v>2031</v>
      </c>
      <c r="I165">
        <v>2.4458907120424382</v>
      </c>
    </row>
    <row r="166" spans="1:9">
      <c r="A166">
        <v>1</v>
      </c>
      <c r="B166">
        <v>1</v>
      </c>
      <c r="C166" t="s">
        <v>83</v>
      </c>
      <c r="D166" t="s">
        <v>114</v>
      </c>
      <c r="E166" t="s">
        <v>25</v>
      </c>
      <c r="F166" t="s">
        <v>117</v>
      </c>
      <c r="G166" t="s">
        <v>37</v>
      </c>
      <c r="H166">
        <v>2032</v>
      </c>
      <c r="I166">
        <v>2.306055106084302</v>
      </c>
    </row>
    <row r="167" spans="1:9">
      <c r="A167">
        <v>1</v>
      </c>
      <c r="B167">
        <v>1</v>
      </c>
      <c r="C167" t="s">
        <v>83</v>
      </c>
      <c r="D167" t="s">
        <v>114</v>
      </c>
      <c r="E167" t="s">
        <v>25</v>
      </c>
      <c r="F167" t="s">
        <v>117</v>
      </c>
      <c r="G167" t="s">
        <v>38</v>
      </c>
      <c r="H167">
        <v>2018</v>
      </c>
      <c r="I167">
        <v>0.63313001556223047</v>
      </c>
    </row>
    <row r="168" spans="1:9">
      <c r="A168">
        <v>1</v>
      </c>
      <c r="B168">
        <v>1</v>
      </c>
      <c r="C168" t="s">
        <v>83</v>
      </c>
      <c r="D168" t="s">
        <v>114</v>
      </c>
      <c r="E168" t="s">
        <v>25</v>
      </c>
      <c r="F168" t="s">
        <v>117</v>
      </c>
      <c r="G168" t="s">
        <v>38</v>
      </c>
      <c r="H168">
        <v>2019</v>
      </c>
      <c r="I168">
        <v>0.64118373785322746</v>
      </c>
    </row>
    <row r="169" spans="1:9">
      <c r="A169">
        <v>1</v>
      </c>
      <c r="B169">
        <v>1</v>
      </c>
      <c r="C169" t="s">
        <v>83</v>
      </c>
      <c r="D169" t="s">
        <v>114</v>
      </c>
      <c r="E169" t="s">
        <v>25</v>
      </c>
      <c r="F169" t="s">
        <v>117</v>
      </c>
      <c r="G169" t="s">
        <v>38</v>
      </c>
      <c r="H169">
        <v>2020</v>
      </c>
      <c r="I169">
        <v>1.1666630812125232</v>
      </c>
    </row>
    <row r="170" spans="1:9">
      <c r="A170">
        <v>1</v>
      </c>
      <c r="B170">
        <v>1</v>
      </c>
      <c r="C170" t="s">
        <v>83</v>
      </c>
      <c r="D170" t="s">
        <v>114</v>
      </c>
      <c r="E170" t="s">
        <v>25</v>
      </c>
      <c r="F170" t="s">
        <v>117</v>
      </c>
      <c r="G170" t="s">
        <v>38</v>
      </c>
      <c r="H170">
        <v>2021</v>
      </c>
      <c r="I170">
        <v>1.0838118047360887</v>
      </c>
    </row>
    <row r="171" spans="1:9">
      <c r="A171">
        <v>1</v>
      </c>
      <c r="B171">
        <v>1</v>
      </c>
      <c r="C171" t="s">
        <v>83</v>
      </c>
      <c r="D171" t="s">
        <v>114</v>
      </c>
      <c r="E171" t="s">
        <v>25</v>
      </c>
      <c r="F171" t="s">
        <v>117</v>
      </c>
      <c r="G171" t="s">
        <v>38</v>
      </c>
      <c r="H171">
        <v>2022</v>
      </c>
      <c r="I171">
        <v>0.92402806149903494</v>
      </c>
    </row>
    <row r="172" spans="1:9">
      <c r="A172">
        <v>1</v>
      </c>
      <c r="B172">
        <v>1</v>
      </c>
      <c r="C172" t="s">
        <v>83</v>
      </c>
      <c r="D172" t="s">
        <v>114</v>
      </c>
      <c r="E172" t="s">
        <v>25</v>
      </c>
      <c r="F172" t="s">
        <v>117</v>
      </c>
      <c r="G172" t="s">
        <v>38</v>
      </c>
      <c r="H172">
        <v>2023</v>
      </c>
      <c r="I172">
        <v>1.0527003720322565</v>
      </c>
    </row>
    <row r="173" spans="1:9">
      <c r="A173">
        <v>1</v>
      </c>
      <c r="B173">
        <v>1</v>
      </c>
      <c r="C173" t="s">
        <v>83</v>
      </c>
      <c r="D173" t="s">
        <v>114</v>
      </c>
      <c r="E173" t="s">
        <v>25</v>
      </c>
      <c r="F173" t="s">
        <v>117</v>
      </c>
      <c r="G173" t="s">
        <v>38</v>
      </c>
      <c r="H173">
        <v>2024</v>
      </c>
      <c r="I173">
        <v>1.6186485115217939</v>
      </c>
    </row>
    <row r="174" spans="1:9">
      <c r="A174">
        <v>1</v>
      </c>
      <c r="B174">
        <v>1</v>
      </c>
      <c r="C174" t="s">
        <v>83</v>
      </c>
      <c r="D174" t="s">
        <v>114</v>
      </c>
      <c r="E174" t="s">
        <v>25</v>
      </c>
      <c r="F174" t="s">
        <v>117</v>
      </c>
      <c r="G174" t="s">
        <v>38</v>
      </c>
      <c r="H174">
        <v>2025</v>
      </c>
      <c r="I174">
        <v>1.6027207441541518</v>
      </c>
    </row>
    <row r="175" spans="1:9">
      <c r="A175">
        <v>1</v>
      </c>
      <c r="B175">
        <v>1</v>
      </c>
      <c r="C175" t="s">
        <v>83</v>
      </c>
      <c r="D175" t="s">
        <v>114</v>
      </c>
      <c r="E175" t="s">
        <v>25</v>
      </c>
      <c r="F175" t="s">
        <v>117</v>
      </c>
      <c r="G175" t="s">
        <v>38</v>
      </c>
      <c r="H175">
        <v>2026</v>
      </c>
      <c r="I175">
        <v>1.5990323828596422</v>
      </c>
    </row>
    <row r="176" spans="1:9">
      <c r="A176">
        <v>1</v>
      </c>
      <c r="B176">
        <v>1</v>
      </c>
      <c r="C176" t="s">
        <v>83</v>
      </c>
      <c r="D176" t="s">
        <v>114</v>
      </c>
      <c r="E176" t="s">
        <v>25</v>
      </c>
      <c r="F176" t="s">
        <v>117</v>
      </c>
      <c r="G176" t="s">
        <v>38</v>
      </c>
      <c r="H176">
        <v>2027</v>
      </c>
      <c r="I176">
        <v>0.93797174323029409</v>
      </c>
    </row>
    <row r="177" spans="1:9">
      <c r="A177">
        <v>1</v>
      </c>
      <c r="B177">
        <v>1</v>
      </c>
      <c r="C177" t="s">
        <v>83</v>
      </c>
      <c r="D177" t="s">
        <v>114</v>
      </c>
      <c r="E177" t="s">
        <v>25</v>
      </c>
      <c r="F177" t="s">
        <v>117</v>
      </c>
      <c r="G177" t="s">
        <v>38</v>
      </c>
      <c r="H177">
        <v>2028</v>
      </c>
      <c r="I177">
        <v>1.381616096374239</v>
      </c>
    </row>
    <row r="178" spans="1:9">
      <c r="A178">
        <v>1</v>
      </c>
      <c r="B178">
        <v>1</v>
      </c>
      <c r="C178" t="s">
        <v>83</v>
      </c>
      <c r="D178" t="s">
        <v>114</v>
      </c>
      <c r="E178" t="s">
        <v>25</v>
      </c>
      <c r="F178" t="s">
        <v>117</v>
      </c>
      <c r="G178" t="s">
        <v>38</v>
      </c>
      <c r="H178">
        <v>2029</v>
      </c>
      <c r="I178">
        <v>1.7364134149109223</v>
      </c>
    </row>
    <row r="179" spans="1:9">
      <c r="A179">
        <v>1</v>
      </c>
      <c r="B179">
        <v>1</v>
      </c>
      <c r="C179" t="s">
        <v>83</v>
      </c>
      <c r="D179" t="s">
        <v>114</v>
      </c>
      <c r="E179" t="s">
        <v>25</v>
      </c>
      <c r="F179" t="s">
        <v>117</v>
      </c>
      <c r="G179" t="s">
        <v>38</v>
      </c>
      <c r="H179">
        <v>2030</v>
      </c>
      <c r="I179">
        <v>1.2436620712900959</v>
      </c>
    </row>
    <row r="180" spans="1:9">
      <c r="A180">
        <v>1</v>
      </c>
      <c r="B180">
        <v>1</v>
      </c>
      <c r="C180" t="s">
        <v>83</v>
      </c>
      <c r="D180" t="s">
        <v>114</v>
      </c>
      <c r="E180" t="s">
        <v>25</v>
      </c>
      <c r="F180" t="s">
        <v>117</v>
      </c>
      <c r="G180" t="s">
        <v>38</v>
      </c>
      <c r="H180">
        <v>2031</v>
      </c>
      <c r="I180">
        <v>1.75335874286993</v>
      </c>
    </row>
    <row r="181" spans="1:9">
      <c r="A181">
        <v>1</v>
      </c>
      <c r="B181">
        <v>1</v>
      </c>
      <c r="C181" t="s">
        <v>83</v>
      </c>
      <c r="D181" t="s">
        <v>114</v>
      </c>
      <c r="E181" t="s">
        <v>25</v>
      </c>
      <c r="F181" t="s">
        <v>117</v>
      </c>
      <c r="G181" t="s">
        <v>38</v>
      </c>
      <c r="H181">
        <v>2032</v>
      </c>
      <c r="I181">
        <v>1.2122646283462488</v>
      </c>
    </row>
    <row r="182" spans="1:9">
      <c r="A182">
        <v>1</v>
      </c>
      <c r="B182">
        <v>2</v>
      </c>
      <c r="C182" t="s">
        <v>84</v>
      </c>
      <c r="D182" t="s">
        <v>113</v>
      </c>
      <c r="E182" t="s">
        <v>20</v>
      </c>
      <c r="F182" t="s">
        <v>30</v>
      </c>
      <c r="G182" t="s">
        <v>37</v>
      </c>
      <c r="H182">
        <v>2018</v>
      </c>
      <c r="I182">
        <v>1.4187094862765697</v>
      </c>
    </row>
    <row r="183" spans="1:9">
      <c r="A183">
        <v>1</v>
      </c>
      <c r="B183">
        <v>2</v>
      </c>
      <c r="C183" t="s">
        <v>84</v>
      </c>
      <c r="D183" t="s">
        <v>113</v>
      </c>
      <c r="E183" t="s">
        <v>20</v>
      </c>
      <c r="F183" t="s">
        <v>30</v>
      </c>
      <c r="G183" t="s">
        <v>37</v>
      </c>
      <c r="H183">
        <v>2019</v>
      </c>
      <c r="I183">
        <v>1.650702408992601</v>
      </c>
    </row>
    <row r="184" spans="1:9">
      <c r="A184">
        <v>1</v>
      </c>
      <c r="B184">
        <v>2</v>
      </c>
      <c r="C184" t="s">
        <v>84</v>
      </c>
      <c r="D184" t="s">
        <v>113</v>
      </c>
      <c r="E184" t="s">
        <v>20</v>
      </c>
      <c r="F184" t="s">
        <v>30</v>
      </c>
      <c r="G184" t="s">
        <v>37</v>
      </c>
      <c r="H184">
        <v>2020</v>
      </c>
      <c r="I184">
        <v>1.3659479168522435</v>
      </c>
    </row>
    <row r="185" spans="1:9">
      <c r="A185">
        <v>1</v>
      </c>
      <c r="B185">
        <v>2</v>
      </c>
      <c r="C185" t="s">
        <v>84</v>
      </c>
      <c r="D185" t="s">
        <v>113</v>
      </c>
      <c r="E185" t="s">
        <v>20</v>
      </c>
      <c r="F185" t="s">
        <v>30</v>
      </c>
      <c r="G185" t="s">
        <v>37</v>
      </c>
      <c r="H185">
        <v>2021</v>
      </c>
      <c r="I185">
        <v>2.6975384901874437</v>
      </c>
    </row>
    <row r="186" spans="1:9">
      <c r="A186">
        <v>1</v>
      </c>
      <c r="B186">
        <v>2</v>
      </c>
      <c r="C186" t="s">
        <v>84</v>
      </c>
      <c r="D186" t="s">
        <v>113</v>
      </c>
      <c r="E186" t="s">
        <v>20</v>
      </c>
      <c r="F186" t="s">
        <v>30</v>
      </c>
      <c r="G186" t="s">
        <v>37</v>
      </c>
      <c r="H186">
        <v>2022</v>
      </c>
      <c r="I186">
        <v>2.4934422866248758</v>
      </c>
    </row>
    <row r="187" spans="1:9">
      <c r="A187">
        <v>1</v>
      </c>
      <c r="B187">
        <v>2</v>
      </c>
      <c r="C187" t="s">
        <v>84</v>
      </c>
      <c r="D187" t="s">
        <v>113</v>
      </c>
      <c r="E187" t="s">
        <v>20</v>
      </c>
      <c r="F187" t="s">
        <v>30</v>
      </c>
      <c r="G187" t="s">
        <v>37</v>
      </c>
      <c r="H187">
        <v>2023</v>
      </c>
      <c r="I187">
        <v>2.8691235511607682</v>
      </c>
    </row>
    <row r="188" spans="1:9">
      <c r="A188">
        <v>1</v>
      </c>
      <c r="B188">
        <v>2</v>
      </c>
      <c r="C188" t="s">
        <v>84</v>
      </c>
      <c r="D188" t="s">
        <v>113</v>
      </c>
      <c r="E188" t="s">
        <v>20</v>
      </c>
      <c r="F188" t="s">
        <v>30</v>
      </c>
      <c r="G188" t="s">
        <v>37</v>
      </c>
      <c r="H188">
        <v>2024</v>
      </c>
      <c r="I188">
        <v>2.965269207672212</v>
      </c>
    </row>
    <row r="189" spans="1:9">
      <c r="A189">
        <v>1</v>
      </c>
      <c r="B189">
        <v>2</v>
      </c>
      <c r="C189" t="s">
        <v>84</v>
      </c>
      <c r="D189" t="s">
        <v>113</v>
      </c>
      <c r="E189" t="s">
        <v>20</v>
      </c>
      <c r="F189" t="s">
        <v>30</v>
      </c>
      <c r="G189" t="s">
        <v>37</v>
      </c>
      <c r="H189">
        <v>2025</v>
      </c>
      <c r="I189">
        <v>2.4506212430368941</v>
      </c>
    </row>
    <row r="190" spans="1:9">
      <c r="A190">
        <v>1</v>
      </c>
      <c r="B190">
        <v>2</v>
      </c>
      <c r="C190" t="s">
        <v>84</v>
      </c>
      <c r="D190" t="s">
        <v>113</v>
      </c>
      <c r="E190" t="s">
        <v>20</v>
      </c>
      <c r="F190" t="s">
        <v>30</v>
      </c>
      <c r="G190" t="s">
        <v>37</v>
      </c>
      <c r="H190">
        <v>2026</v>
      </c>
      <c r="I190">
        <v>3.0966157669889913</v>
      </c>
    </row>
    <row r="191" spans="1:9">
      <c r="A191">
        <v>1</v>
      </c>
      <c r="B191">
        <v>2</v>
      </c>
      <c r="C191" t="s">
        <v>84</v>
      </c>
      <c r="D191" t="s">
        <v>113</v>
      </c>
      <c r="E191" t="s">
        <v>20</v>
      </c>
      <c r="F191" t="s">
        <v>30</v>
      </c>
      <c r="G191" t="s">
        <v>37</v>
      </c>
      <c r="H191">
        <v>2027</v>
      </c>
      <c r="I191">
        <v>3.1567821237073135</v>
      </c>
    </row>
    <row r="192" spans="1:9">
      <c r="A192">
        <v>1</v>
      </c>
      <c r="B192">
        <v>2</v>
      </c>
      <c r="C192" t="s">
        <v>84</v>
      </c>
      <c r="D192" t="s">
        <v>113</v>
      </c>
      <c r="E192" t="s">
        <v>20</v>
      </c>
      <c r="F192" t="s">
        <v>30</v>
      </c>
      <c r="G192" t="s">
        <v>37</v>
      </c>
      <c r="H192">
        <v>2028</v>
      </c>
      <c r="I192">
        <v>2.4090502042836066</v>
      </c>
    </row>
    <row r="193" spans="1:9">
      <c r="A193">
        <v>1</v>
      </c>
      <c r="B193">
        <v>2</v>
      </c>
      <c r="C193" t="s">
        <v>84</v>
      </c>
      <c r="D193" t="s">
        <v>113</v>
      </c>
      <c r="E193" t="s">
        <v>20</v>
      </c>
      <c r="F193" t="s">
        <v>30</v>
      </c>
      <c r="G193" t="s">
        <v>37</v>
      </c>
      <c r="H193">
        <v>2029</v>
      </c>
      <c r="I193">
        <v>2.3020258373369735</v>
      </c>
    </row>
    <row r="194" spans="1:9">
      <c r="A194">
        <v>1</v>
      </c>
      <c r="B194">
        <v>2</v>
      </c>
      <c r="C194" t="s">
        <v>84</v>
      </c>
      <c r="D194" t="s">
        <v>113</v>
      </c>
      <c r="E194" t="s">
        <v>20</v>
      </c>
      <c r="F194" t="s">
        <v>30</v>
      </c>
      <c r="G194" t="s">
        <v>37</v>
      </c>
      <c r="H194">
        <v>2030</v>
      </c>
      <c r="I194">
        <v>2.825392695675133</v>
      </c>
    </row>
    <row r="195" spans="1:9">
      <c r="A195">
        <v>1</v>
      </c>
      <c r="B195">
        <v>2</v>
      </c>
      <c r="C195" t="s">
        <v>84</v>
      </c>
      <c r="D195" t="s">
        <v>113</v>
      </c>
      <c r="E195" t="s">
        <v>20</v>
      </c>
      <c r="F195" t="s">
        <v>30</v>
      </c>
      <c r="G195" t="s">
        <v>37</v>
      </c>
      <c r="H195">
        <v>2031</v>
      </c>
      <c r="I195">
        <v>2.5030683300983112</v>
      </c>
    </row>
    <row r="196" spans="1:9">
      <c r="A196">
        <v>1</v>
      </c>
      <c r="B196">
        <v>2</v>
      </c>
      <c r="C196" t="s">
        <v>84</v>
      </c>
      <c r="D196" t="s">
        <v>113</v>
      </c>
      <c r="E196" t="s">
        <v>20</v>
      </c>
      <c r="F196" t="s">
        <v>30</v>
      </c>
      <c r="G196" t="s">
        <v>37</v>
      </c>
      <c r="H196">
        <v>2032</v>
      </c>
      <c r="I196">
        <v>4.3145231004872322</v>
      </c>
    </row>
    <row r="197" spans="1:9">
      <c r="A197">
        <v>1</v>
      </c>
      <c r="B197">
        <v>2</v>
      </c>
      <c r="C197" t="s">
        <v>84</v>
      </c>
      <c r="D197" t="s">
        <v>113</v>
      </c>
      <c r="E197" t="s">
        <v>20</v>
      </c>
      <c r="F197" t="s">
        <v>30</v>
      </c>
      <c r="G197" t="s">
        <v>38</v>
      </c>
      <c r="H197">
        <v>2018</v>
      </c>
      <c r="I197">
        <v>1.1695153958440698</v>
      </c>
    </row>
    <row r="198" spans="1:9">
      <c r="A198">
        <v>1</v>
      </c>
      <c r="B198">
        <v>2</v>
      </c>
      <c r="C198" t="s">
        <v>84</v>
      </c>
      <c r="D198" t="s">
        <v>113</v>
      </c>
      <c r="E198" t="s">
        <v>20</v>
      </c>
      <c r="F198" t="s">
        <v>30</v>
      </c>
      <c r="G198" t="s">
        <v>38</v>
      </c>
      <c r="H198">
        <v>2019</v>
      </c>
      <c r="I198">
        <v>1.1537370501180138</v>
      </c>
    </row>
    <row r="199" spans="1:9">
      <c r="A199">
        <v>1</v>
      </c>
      <c r="B199">
        <v>2</v>
      </c>
      <c r="C199" t="s">
        <v>84</v>
      </c>
      <c r="D199" t="s">
        <v>113</v>
      </c>
      <c r="E199" t="s">
        <v>20</v>
      </c>
      <c r="F199" t="s">
        <v>30</v>
      </c>
      <c r="G199" t="s">
        <v>38</v>
      </c>
      <c r="H199">
        <v>2020</v>
      </c>
      <c r="I199">
        <v>1.2416665449522775</v>
      </c>
    </row>
    <row r="200" spans="1:9">
      <c r="A200">
        <v>1</v>
      </c>
      <c r="B200">
        <v>2</v>
      </c>
      <c r="C200" t="s">
        <v>84</v>
      </c>
      <c r="D200" t="s">
        <v>113</v>
      </c>
      <c r="E200" t="s">
        <v>20</v>
      </c>
      <c r="F200" t="s">
        <v>30</v>
      </c>
      <c r="G200" t="s">
        <v>38</v>
      </c>
      <c r="H200">
        <v>2021</v>
      </c>
      <c r="I200">
        <v>1.4073791686684762</v>
      </c>
    </row>
    <row r="201" spans="1:9">
      <c r="A201">
        <v>1</v>
      </c>
      <c r="B201">
        <v>2</v>
      </c>
      <c r="C201" t="s">
        <v>84</v>
      </c>
      <c r="D201" t="s">
        <v>113</v>
      </c>
      <c r="E201" t="s">
        <v>20</v>
      </c>
      <c r="F201" t="s">
        <v>30</v>
      </c>
      <c r="G201" t="s">
        <v>38</v>
      </c>
      <c r="H201">
        <v>2022</v>
      </c>
      <c r="I201">
        <v>1.3945019176083395</v>
      </c>
    </row>
    <row r="202" spans="1:9">
      <c r="A202">
        <v>1</v>
      </c>
      <c r="B202">
        <v>2</v>
      </c>
      <c r="C202" t="s">
        <v>84</v>
      </c>
      <c r="D202" t="s">
        <v>113</v>
      </c>
      <c r="E202" t="s">
        <v>20</v>
      </c>
      <c r="F202" t="s">
        <v>30</v>
      </c>
      <c r="G202" t="s">
        <v>38</v>
      </c>
      <c r="H202">
        <v>2023</v>
      </c>
      <c r="I202">
        <v>1.4752512851337156</v>
      </c>
    </row>
    <row r="203" spans="1:9">
      <c r="A203">
        <v>1</v>
      </c>
      <c r="B203">
        <v>2</v>
      </c>
      <c r="C203" t="s">
        <v>84</v>
      </c>
      <c r="D203" t="s">
        <v>113</v>
      </c>
      <c r="E203" t="s">
        <v>20</v>
      </c>
      <c r="F203" t="s">
        <v>30</v>
      </c>
      <c r="G203" t="s">
        <v>38</v>
      </c>
      <c r="H203">
        <v>2024</v>
      </c>
      <c r="I203">
        <v>1.1286166290909014</v>
      </c>
    </row>
    <row r="204" spans="1:9">
      <c r="A204">
        <v>1</v>
      </c>
      <c r="B204">
        <v>2</v>
      </c>
      <c r="C204" t="s">
        <v>84</v>
      </c>
      <c r="D204" t="s">
        <v>113</v>
      </c>
      <c r="E204" t="s">
        <v>20</v>
      </c>
      <c r="F204" t="s">
        <v>30</v>
      </c>
      <c r="G204" t="s">
        <v>38</v>
      </c>
      <c r="H204">
        <v>2025</v>
      </c>
      <c r="I204">
        <v>1.5053421119405073</v>
      </c>
    </row>
    <row r="205" spans="1:9">
      <c r="A205">
        <v>1</v>
      </c>
      <c r="B205">
        <v>2</v>
      </c>
      <c r="C205" t="s">
        <v>84</v>
      </c>
      <c r="D205" t="s">
        <v>113</v>
      </c>
      <c r="E205" t="s">
        <v>20</v>
      </c>
      <c r="F205" t="s">
        <v>30</v>
      </c>
      <c r="G205" t="s">
        <v>38</v>
      </c>
      <c r="H205">
        <v>2026</v>
      </c>
      <c r="I205">
        <v>1.0193827443464449</v>
      </c>
    </row>
    <row r="206" spans="1:9">
      <c r="A206">
        <v>1</v>
      </c>
      <c r="B206">
        <v>2</v>
      </c>
      <c r="C206" t="s">
        <v>84</v>
      </c>
      <c r="D206" t="s">
        <v>113</v>
      </c>
      <c r="E206" t="s">
        <v>20</v>
      </c>
      <c r="F206" t="s">
        <v>30</v>
      </c>
      <c r="G206" t="s">
        <v>38</v>
      </c>
      <c r="H206">
        <v>2027</v>
      </c>
      <c r="I206">
        <v>1.646114824402916</v>
      </c>
    </row>
    <row r="207" spans="1:9">
      <c r="A207">
        <v>1</v>
      </c>
      <c r="B207">
        <v>2</v>
      </c>
      <c r="C207" t="s">
        <v>84</v>
      </c>
      <c r="D207" t="s">
        <v>113</v>
      </c>
      <c r="E207" t="s">
        <v>20</v>
      </c>
      <c r="F207" t="s">
        <v>30</v>
      </c>
      <c r="G207" t="s">
        <v>38</v>
      </c>
      <c r="H207">
        <v>2028</v>
      </c>
      <c r="I207">
        <v>1.1820487578934651</v>
      </c>
    </row>
    <row r="208" spans="1:9">
      <c r="A208">
        <v>1</v>
      </c>
      <c r="B208">
        <v>2</v>
      </c>
      <c r="C208" t="s">
        <v>84</v>
      </c>
      <c r="D208" t="s">
        <v>113</v>
      </c>
      <c r="E208" t="s">
        <v>20</v>
      </c>
      <c r="F208" t="s">
        <v>30</v>
      </c>
      <c r="G208" t="s">
        <v>38</v>
      </c>
      <c r="H208">
        <v>2029</v>
      </c>
      <c r="I208">
        <v>1.5002439193353201</v>
      </c>
    </row>
    <row r="209" spans="1:9">
      <c r="A209">
        <v>1</v>
      </c>
      <c r="B209">
        <v>2</v>
      </c>
      <c r="C209" t="s">
        <v>84</v>
      </c>
      <c r="D209" t="s">
        <v>113</v>
      </c>
      <c r="E209" t="s">
        <v>20</v>
      </c>
      <c r="F209" t="s">
        <v>30</v>
      </c>
      <c r="G209" t="s">
        <v>38</v>
      </c>
      <c r="H209">
        <v>2030</v>
      </c>
      <c r="I209">
        <v>1.6609255620689467</v>
      </c>
    </row>
    <row r="210" spans="1:9">
      <c r="A210">
        <v>1</v>
      </c>
      <c r="B210">
        <v>2</v>
      </c>
      <c r="C210" t="s">
        <v>84</v>
      </c>
      <c r="D210" t="s">
        <v>113</v>
      </c>
      <c r="E210" t="s">
        <v>20</v>
      </c>
      <c r="F210" t="s">
        <v>30</v>
      </c>
      <c r="G210" t="s">
        <v>38</v>
      </c>
      <c r="H210">
        <v>2031</v>
      </c>
      <c r="I210">
        <v>1.3989683263660704</v>
      </c>
    </row>
    <row r="211" spans="1:9">
      <c r="A211">
        <v>1</v>
      </c>
      <c r="B211">
        <v>2</v>
      </c>
      <c r="C211" t="s">
        <v>84</v>
      </c>
      <c r="D211" t="s">
        <v>113</v>
      </c>
      <c r="E211" t="s">
        <v>20</v>
      </c>
      <c r="F211" t="s">
        <v>30</v>
      </c>
      <c r="G211" t="s">
        <v>38</v>
      </c>
      <c r="H211">
        <v>2032</v>
      </c>
      <c r="I211">
        <v>1.4786905740065239</v>
      </c>
    </row>
    <row r="212" spans="1:9">
      <c r="A212">
        <v>1</v>
      </c>
      <c r="B212">
        <v>2</v>
      </c>
      <c r="C212" t="s">
        <v>84</v>
      </c>
      <c r="D212" t="s">
        <v>113</v>
      </c>
      <c r="E212" t="s">
        <v>20</v>
      </c>
      <c r="F212" t="s">
        <v>31</v>
      </c>
      <c r="G212" t="s">
        <v>37</v>
      </c>
      <c r="H212">
        <v>2018</v>
      </c>
      <c r="I212">
        <v>1.0428381340603314</v>
      </c>
    </row>
    <row r="213" spans="1:9">
      <c r="A213">
        <v>1</v>
      </c>
      <c r="B213">
        <v>2</v>
      </c>
      <c r="C213" t="s">
        <v>84</v>
      </c>
      <c r="D213" t="s">
        <v>113</v>
      </c>
      <c r="E213" t="s">
        <v>20</v>
      </c>
      <c r="F213" t="s">
        <v>31</v>
      </c>
      <c r="G213" t="s">
        <v>37</v>
      </c>
      <c r="H213">
        <v>2019</v>
      </c>
      <c r="I213">
        <v>0.62416769549550288</v>
      </c>
    </row>
    <row r="214" spans="1:9">
      <c r="A214">
        <v>1</v>
      </c>
      <c r="B214">
        <v>2</v>
      </c>
      <c r="C214" t="s">
        <v>84</v>
      </c>
      <c r="D214" t="s">
        <v>113</v>
      </c>
      <c r="E214" t="s">
        <v>20</v>
      </c>
      <c r="F214" t="s">
        <v>31</v>
      </c>
      <c r="G214" t="s">
        <v>37</v>
      </c>
      <c r="H214">
        <v>2020</v>
      </c>
      <c r="I214">
        <v>0.76109530165616091</v>
      </c>
    </row>
    <row r="215" spans="1:9">
      <c r="A215">
        <v>1</v>
      </c>
      <c r="B215">
        <v>2</v>
      </c>
      <c r="C215" t="s">
        <v>84</v>
      </c>
      <c r="D215" t="s">
        <v>113</v>
      </c>
      <c r="E215" t="s">
        <v>20</v>
      </c>
      <c r="F215" t="s">
        <v>31</v>
      </c>
      <c r="G215" t="s">
        <v>37</v>
      </c>
      <c r="H215">
        <v>2021</v>
      </c>
      <c r="I215">
        <v>1.3629867996678664</v>
      </c>
    </row>
    <row r="216" spans="1:9">
      <c r="A216">
        <v>1</v>
      </c>
      <c r="B216">
        <v>2</v>
      </c>
      <c r="C216" t="s">
        <v>84</v>
      </c>
      <c r="D216" t="s">
        <v>113</v>
      </c>
      <c r="E216" t="s">
        <v>20</v>
      </c>
      <c r="F216" t="s">
        <v>31</v>
      </c>
      <c r="G216" t="s">
        <v>37</v>
      </c>
      <c r="H216">
        <v>2022</v>
      </c>
      <c r="I216">
        <v>1.3037980053760561</v>
      </c>
    </row>
    <row r="217" spans="1:9">
      <c r="A217">
        <v>1</v>
      </c>
      <c r="B217">
        <v>2</v>
      </c>
      <c r="C217" t="s">
        <v>84</v>
      </c>
      <c r="D217" t="s">
        <v>113</v>
      </c>
      <c r="E217" t="s">
        <v>20</v>
      </c>
      <c r="F217" t="s">
        <v>31</v>
      </c>
      <c r="G217" t="s">
        <v>37</v>
      </c>
      <c r="H217">
        <v>2023</v>
      </c>
      <c r="I217">
        <v>0.90846941007978255</v>
      </c>
    </row>
    <row r="218" spans="1:9">
      <c r="A218">
        <v>1</v>
      </c>
      <c r="B218">
        <v>2</v>
      </c>
      <c r="C218" t="s">
        <v>84</v>
      </c>
      <c r="D218" t="s">
        <v>113</v>
      </c>
      <c r="E218" t="s">
        <v>20</v>
      </c>
      <c r="F218" t="s">
        <v>31</v>
      </c>
      <c r="G218" t="s">
        <v>37</v>
      </c>
      <c r="H218">
        <v>2024</v>
      </c>
      <c r="I218">
        <v>1.4478218220865022</v>
      </c>
    </row>
    <row r="219" spans="1:9">
      <c r="A219">
        <v>1</v>
      </c>
      <c r="B219">
        <v>2</v>
      </c>
      <c r="C219" t="s">
        <v>84</v>
      </c>
      <c r="D219" t="s">
        <v>113</v>
      </c>
      <c r="E219" t="s">
        <v>20</v>
      </c>
      <c r="F219" t="s">
        <v>31</v>
      </c>
      <c r="G219" t="s">
        <v>37</v>
      </c>
      <c r="H219">
        <v>2025</v>
      </c>
      <c r="I219">
        <v>1.4305736930823283</v>
      </c>
    </row>
    <row r="220" spans="1:9">
      <c r="A220">
        <v>1</v>
      </c>
      <c r="B220">
        <v>2</v>
      </c>
      <c r="C220" t="s">
        <v>84</v>
      </c>
      <c r="D220" t="s">
        <v>113</v>
      </c>
      <c r="E220" t="s">
        <v>20</v>
      </c>
      <c r="F220" t="s">
        <v>31</v>
      </c>
      <c r="G220" t="s">
        <v>37</v>
      </c>
      <c r="H220">
        <v>2026</v>
      </c>
      <c r="I220">
        <v>0.85912280457438051</v>
      </c>
    </row>
    <row r="221" spans="1:9">
      <c r="A221">
        <v>1</v>
      </c>
      <c r="B221">
        <v>2</v>
      </c>
      <c r="C221" t="s">
        <v>84</v>
      </c>
      <c r="D221" t="s">
        <v>113</v>
      </c>
      <c r="E221" t="s">
        <v>20</v>
      </c>
      <c r="F221" t="s">
        <v>31</v>
      </c>
      <c r="G221" t="s">
        <v>37</v>
      </c>
      <c r="H221">
        <v>2027</v>
      </c>
      <c r="I221">
        <v>0.79893401654804275</v>
      </c>
    </row>
    <row r="222" spans="1:9">
      <c r="A222">
        <v>1</v>
      </c>
      <c r="B222">
        <v>2</v>
      </c>
      <c r="C222" t="s">
        <v>84</v>
      </c>
      <c r="D222" t="s">
        <v>113</v>
      </c>
      <c r="E222" t="s">
        <v>20</v>
      </c>
      <c r="F222" t="s">
        <v>31</v>
      </c>
      <c r="G222" t="s">
        <v>37</v>
      </c>
      <c r="H222">
        <v>2028</v>
      </c>
      <c r="I222">
        <v>0.92105831055467635</v>
      </c>
    </row>
    <row r="223" spans="1:9">
      <c r="A223">
        <v>1</v>
      </c>
      <c r="B223">
        <v>2</v>
      </c>
      <c r="C223" t="s">
        <v>84</v>
      </c>
      <c r="D223" t="s">
        <v>113</v>
      </c>
      <c r="E223" t="s">
        <v>20</v>
      </c>
      <c r="F223" t="s">
        <v>31</v>
      </c>
      <c r="G223" t="s">
        <v>37</v>
      </c>
      <c r="H223">
        <v>2029</v>
      </c>
      <c r="I223">
        <v>1.1824028528548562</v>
      </c>
    </row>
    <row r="224" spans="1:9">
      <c r="A224">
        <v>1</v>
      </c>
      <c r="B224">
        <v>2</v>
      </c>
      <c r="C224" t="s">
        <v>84</v>
      </c>
      <c r="D224" t="s">
        <v>113</v>
      </c>
      <c r="E224" t="s">
        <v>20</v>
      </c>
      <c r="F224" t="s">
        <v>31</v>
      </c>
      <c r="G224" t="s">
        <v>37</v>
      </c>
      <c r="H224">
        <v>2030</v>
      </c>
      <c r="I224">
        <v>1.7983203464599007</v>
      </c>
    </row>
    <row r="225" spans="1:9">
      <c r="A225">
        <v>1</v>
      </c>
      <c r="B225">
        <v>2</v>
      </c>
      <c r="C225" t="s">
        <v>84</v>
      </c>
      <c r="D225" t="s">
        <v>113</v>
      </c>
      <c r="E225" t="s">
        <v>20</v>
      </c>
      <c r="F225" t="s">
        <v>31</v>
      </c>
      <c r="G225" t="s">
        <v>37</v>
      </c>
      <c r="H225">
        <v>2031</v>
      </c>
      <c r="I225">
        <v>1.6659783257638217</v>
      </c>
    </row>
    <row r="226" spans="1:9">
      <c r="A226">
        <v>1</v>
      </c>
      <c r="B226">
        <v>2</v>
      </c>
      <c r="C226" t="s">
        <v>84</v>
      </c>
      <c r="D226" t="s">
        <v>113</v>
      </c>
      <c r="E226" t="s">
        <v>20</v>
      </c>
      <c r="F226" t="s">
        <v>31</v>
      </c>
      <c r="G226" t="s">
        <v>37</v>
      </c>
      <c r="H226">
        <v>2032</v>
      </c>
      <c r="I226">
        <v>1.2634322998181768</v>
      </c>
    </row>
    <row r="227" spans="1:9">
      <c r="A227">
        <v>1</v>
      </c>
      <c r="B227">
        <v>2</v>
      </c>
      <c r="C227" t="s">
        <v>84</v>
      </c>
      <c r="D227" t="s">
        <v>113</v>
      </c>
      <c r="E227" t="s">
        <v>20</v>
      </c>
      <c r="F227" t="s">
        <v>31</v>
      </c>
      <c r="G227" t="s">
        <v>38</v>
      </c>
      <c r="H227">
        <v>2018</v>
      </c>
      <c r="I227">
        <v>0.43181355211013817</v>
      </c>
    </row>
    <row r="228" spans="1:9">
      <c r="A228">
        <v>1</v>
      </c>
      <c r="B228">
        <v>2</v>
      </c>
      <c r="C228" t="s">
        <v>84</v>
      </c>
      <c r="D228" t="s">
        <v>113</v>
      </c>
      <c r="E228" t="s">
        <v>20</v>
      </c>
      <c r="F228" t="s">
        <v>31</v>
      </c>
      <c r="G228" t="s">
        <v>38</v>
      </c>
      <c r="H228">
        <v>2019</v>
      </c>
      <c r="I228">
        <v>0.28315976273352134</v>
      </c>
    </row>
    <row r="229" spans="1:9">
      <c r="A229">
        <v>1</v>
      </c>
      <c r="B229">
        <v>2</v>
      </c>
      <c r="C229" t="s">
        <v>84</v>
      </c>
      <c r="D229" t="s">
        <v>113</v>
      </c>
      <c r="E229" t="s">
        <v>20</v>
      </c>
      <c r="F229" t="s">
        <v>31</v>
      </c>
      <c r="G229" t="s">
        <v>38</v>
      </c>
      <c r="H229">
        <v>2020</v>
      </c>
      <c r="I229">
        <v>0.39856816871566347</v>
      </c>
    </row>
    <row r="230" spans="1:9">
      <c r="A230">
        <v>1</v>
      </c>
      <c r="B230">
        <v>2</v>
      </c>
      <c r="C230" t="s">
        <v>84</v>
      </c>
      <c r="D230" t="s">
        <v>113</v>
      </c>
      <c r="E230" t="s">
        <v>20</v>
      </c>
      <c r="F230" t="s">
        <v>31</v>
      </c>
      <c r="G230" t="s">
        <v>38</v>
      </c>
      <c r="H230">
        <v>2021</v>
      </c>
      <c r="I230">
        <v>0.63719565435839542</v>
      </c>
    </row>
    <row r="231" spans="1:9">
      <c r="A231">
        <v>1</v>
      </c>
      <c r="B231">
        <v>2</v>
      </c>
      <c r="C231" t="s">
        <v>84</v>
      </c>
      <c r="D231" t="s">
        <v>113</v>
      </c>
      <c r="E231" t="s">
        <v>20</v>
      </c>
      <c r="F231" t="s">
        <v>31</v>
      </c>
      <c r="G231" t="s">
        <v>38</v>
      </c>
      <c r="H231">
        <v>2022</v>
      </c>
      <c r="I231">
        <v>0.45910957625511961</v>
      </c>
    </row>
    <row r="232" spans="1:9">
      <c r="A232">
        <v>1</v>
      </c>
      <c r="B232">
        <v>2</v>
      </c>
      <c r="C232" t="s">
        <v>84</v>
      </c>
      <c r="D232" t="s">
        <v>113</v>
      </c>
      <c r="E232" t="s">
        <v>20</v>
      </c>
      <c r="F232" t="s">
        <v>31</v>
      </c>
      <c r="G232" t="s">
        <v>38</v>
      </c>
      <c r="H232">
        <v>2023</v>
      </c>
      <c r="I232">
        <v>0.40117181835856097</v>
      </c>
    </row>
    <row r="233" spans="1:9">
      <c r="A233">
        <v>1</v>
      </c>
      <c r="B233">
        <v>2</v>
      </c>
      <c r="C233" t="s">
        <v>84</v>
      </c>
      <c r="D233" t="s">
        <v>113</v>
      </c>
      <c r="E233" t="s">
        <v>20</v>
      </c>
      <c r="F233" t="s">
        <v>31</v>
      </c>
      <c r="G233" t="s">
        <v>38</v>
      </c>
      <c r="H233">
        <v>2024</v>
      </c>
      <c r="I233">
        <v>0.40671124635128492</v>
      </c>
    </row>
    <row r="234" spans="1:9">
      <c r="A234">
        <v>1</v>
      </c>
      <c r="B234">
        <v>2</v>
      </c>
      <c r="C234" t="s">
        <v>84</v>
      </c>
      <c r="D234" t="s">
        <v>113</v>
      </c>
      <c r="E234" t="s">
        <v>20</v>
      </c>
      <c r="F234" t="s">
        <v>31</v>
      </c>
      <c r="G234" t="s">
        <v>38</v>
      </c>
      <c r="H234">
        <v>2025</v>
      </c>
      <c r="I234">
        <v>0.75495704159318333</v>
      </c>
    </row>
    <row r="235" spans="1:9">
      <c r="A235">
        <v>1</v>
      </c>
      <c r="B235">
        <v>2</v>
      </c>
      <c r="C235" t="s">
        <v>84</v>
      </c>
      <c r="D235" t="s">
        <v>113</v>
      </c>
      <c r="E235" t="s">
        <v>20</v>
      </c>
      <c r="F235" t="s">
        <v>31</v>
      </c>
      <c r="G235" t="s">
        <v>38</v>
      </c>
      <c r="H235">
        <v>2026</v>
      </c>
      <c r="I235">
        <v>0.74667677926813392</v>
      </c>
    </row>
    <row r="236" spans="1:9">
      <c r="A236">
        <v>1</v>
      </c>
      <c r="B236">
        <v>2</v>
      </c>
      <c r="C236" t="s">
        <v>84</v>
      </c>
      <c r="D236" t="s">
        <v>113</v>
      </c>
      <c r="E236" t="s">
        <v>20</v>
      </c>
      <c r="F236" t="s">
        <v>31</v>
      </c>
      <c r="G236" t="s">
        <v>38</v>
      </c>
      <c r="H236">
        <v>2027</v>
      </c>
      <c r="I236">
        <v>0.39856607113229076</v>
      </c>
    </row>
    <row r="237" spans="1:9">
      <c r="A237">
        <v>1</v>
      </c>
      <c r="B237">
        <v>2</v>
      </c>
      <c r="C237" t="s">
        <v>84</v>
      </c>
      <c r="D237" t="s">
        <v>113</v>
      </c>
      <c r="E237" t="s">
        <v>20</v>
      </c>
      <c r="F237" t="s">
        <v>31</v>
      </c>
      <c r="G237" t="s">
        <v>38</v>
      </c>
      <c r="H237">
        <v>2028</v>
      </c>
      <c r="I237">
        <v>0.66927661857846288</v>
      </c>
    </row>
    <row r="238" spans="1:9">
      <c r="A238">
        <v>1</v>
      </c>
      <c r="B238">
        <v>2</v>
      </c>
      <c r="C238" t="s">
        <v>84</v>
      </c>
      <c r="D238" t="s">
        <v>113</v>
      </c>
      <c r="E238" t="s">
        <v>20</v>
      </c>
      <c r="F238" t="s">
        <v>31</v>
      </c>
      <c r="G238" t="s">
        <v>38</v>
      </c>
      <c r="H238">
        <v>2029</v>
      </c>
      <c r="I238">
        <v>0.53433512726195931</v>
      </c>
    </row>
    <row r="239" spans="1:9">
      <c r="A239">
        <v>1</v>
      </c>
      <c r="B239">
        <v>2</v>
      </c>
      <c r="C239" t="s">
        <v>84</v>
      </c>
      <c r="D239" t="s">
        <v>113</v>
      </c>
      <c r="E239" t="s">
        <v>20</v>
      </c>
      <c r="F239" t="s">
        <v>31</v>
      </c>
      <c r="G239" t="s">
        <v>38</v>
      </c>
      <c r="H239">
        <v>2030</v>
      </c>
      <c r="I239">
        <v>0.46013151428976995</v>
      </c>
    </row>
    <row r="240" spans="1:9">
      <c r="A240">
        <v>1</v>
      </c>
      <c r="B240">
        <v>2</v>
      </c>
      <c r="C240" t="s">
        <v>84</v>
      </c>
      <c r="D240" t="s">
        <v>113</v>
      </c>
      <c r="E240" t="s">
        <v>20</v>
      </c>
      <c r="F240" t="s">
        <v>31</v>
      </c>
      <c r="G240" t="s">
        <v>38</v>
      </c>
      <c r="H240">
        <v>2031</v>
      </c>
      <c r="I240">
        <v>0.485122420517824</v>
      </c>
    </row>
    <row r="241" spans="1:9">
      <c r="A241">
        <v>1</v>
      </c>
      <c r="B241">
        <v>2</v>
      </c>
      <c r="C241" t="s">
        <v>84</v>
      </c>
      <c r="D241" t="s">
        <v>113</v>
      </c>
      <c r="E241" t="s">
        <v>20</v>
      </c>
      <c r="F241" t="s">
        <v>31</v>
      </c>
      <c r="G241" t="s">
        <v>38</v>
      </c>
      <c r="H241">
        <v>2032</v>
      </c>
      <c r="I241">
        <v>0.88971038702927152</v>
      </c>
    </row>
    <row r="242" spans="1:9">
      <c r="A242">
        <v>1</v>
      </c>
      <c r="B242">
        <v>2</v>
      </c>
      <c r="C242" t="s">
        <v>84</v>
      </c>
      <c r="D242" t="s">
        <v>113</v>
      </c>
      <c r="E242" t="s">
        <v>23</v>
      </c>
      <c r="F242" t="s">
        <v>32</v>
      </c>
      <c r="G242" t="s">
        <v>37</v>
      </c>
      <c r="H242">
        <v>2018</v>
      </c>
      <c r="I242">
        <v>1.6264335307381317</v>
      </c>
    </row>
    <row r="243" spans="1:9">
      <c r="A243">
        <v>1</v>
      </c>
      <c r="B243">
        <v>2</v>
      </c>
      <c r="C243" t="s">
        <v>84</v>
      </c>
      <c r="D243" t="s">
        <v>113</v>
      </c>
      <c r="E243" t="s">
        <v>23</v>
      </c>
      <c r="F243" t="s">
        <v>32</v>
      </c>
      <c r="G243" t="s">
        <v>37</v>
      </c>
      <c r="H243">
        <v>2019</v>
      </c>
      <c r="I243">
        <v>1.1731997310797555</v>
      </c>
    </row>
    <row r="244" spans="1:9">
      <c r="A244">
        <v>1</v>
      </c>
      <c r="B244">
        <v>2</v>
      </c>
      <c r="C244" t="s">
        <v>84</v>
      </c>
      <c r="D244" t="s">
        <v>113</v>
      </c>
      <c r="E244" t="s">
        <v>23</v>
      </c>
      <c r="F244" t="s">
        <v>32</v>
      </c>
      <c r="G244" t="s">
        <v>37</v>
      </c>
      <c r="H244">
        <v>2020</v>
      </c>
      <c r="I244">
        <v>2.004630173107024</v>
      </c>
    </row>
    <row r="245" spans="1:9">
      <c r="A245">
        <v>1</v>
      </c>
      <c r="B245">
        <v>2</v>
      </c>
      <c r="C245" t="s">
        <v>84</v>
      </c>
      <c r="D245" t="s">
        <v>113</v>
      </c>
      <c r="E245" t="s">
        <v>23</v>
      </c>
      <c r="F245" t="s">
        <v>32</v>
      </c>
      <c r="G245" t="s">
        <v>37</v>
      </c>
      <c r="H245">
        <v>2021</v>
      </c>
      <c r="I245">
        <v>1.815053309932622</v>
      </c>
    </row>
    <row r="246" spans="1:9">
      <c r="A246">
        <v>1</v>
      </c>
      <c r="B246">
        <v>2</v>
      </c>
      <c r="C246" t="s">
        <v>84</v>
      </c>
      <c r="D246" t="s">
        <v>113</v>
      </c>
      <c r="E246" t="s">
        <v>23</v>
      </c>
      <c r="F246" t="s">
        <v>32</v>
      </c>
      <c r="G246" t="s">
        <v>37</v>
      </c>
      <c r="H246">
        <v>2022</v>
      </c>
      <c r="I246">
        <v>2.7779194409042489</v>
      </c>
    </row>
    <row r="247" spans="1:9">
      <c r="A247">
        <v>1</v>
      </c>
      <c r="B247">
        <v>2</v>
      </c>
      <c r="C247" t="s">
        <v>84</v>
      </c>
      <c r="D247" t="s">
        <v>113</v>
      </c>
      <c r="E247" t="s">
        <v>23</v>
      </c>
      <c r="F247" t="s">
        <v>32</v>
      </c>
      <c r="G247" t="s">
        <v>37</v>
      </c>
      <c r="H247">
        <v>2023</v>
      </c>
      <c r="I247">
        <v>2.8040168493275042</v>
      </c>
    </row>
    <row r="248" spans="1:9">
      <c r="A248">
        <v>1</v>
      </c>
      <c r="B248">
        <v>2</v>
      </c>
      <c r="C248" t="s">
        <v>84</v>
      </c>
      <c r="D248" t="s">
        <v>113</v>
      </c>
      <c r="E248" t="s">
        <v>23</v>
      </c>
      <c r="F248" t="s">
        <v>32</v>
      </c>
      <c r="G248" t="s">
        <v>37</v>
      </c>
      <c r="H248">
        <v>2024</v>
      </c>
      <c r="I248">
        <v>3.2054996683918295</v>
      </c>
    </row>
    <row r="249" spans="1:9">
      <c r="A249">
        <v>1</v>
      </c>
      <c r="B249">
        <v>2</v>
      </c>
      <c r="C249" t="s">
        <v>84</v>
      </c>
      <c r="D249" t="s">
        <v>113</v>
      </c>
      <c r="E249" t="s">
        <v>23</v>
      </c>
      <c r="F249" t="s">
        <v>32</v>
      </c>
      <c r="G249" t="s">
        <v>37</v>
      </c>
      <c r="H249">
        <v>2025</v>
      </c>
      <c r="I249">
        <v>2.1309448017683388</v>
      </c>
    </row>
    <row r="250" spans="1:9">
      <c r="A250">
        <v>1</v>
      </c>
      <c r="B250">
        <v>2</v>
      </c>
      <c r="C250" t="s">
        <v>84</v>
      </c>
      <c r="D250" t="s">
        <v>113</v>
      </c>
      <c r="E250" t="s">
        <v>23</v>
      </c>
      <c r="F250" t="s">
        <v>32</v>
      </c>
      <c r="G250" t="s">
        <v>37</v>
      </c>
      <c r="H250">
        <v>2026</v>
      </c>
      <c r="I250">
        <v>2.5677152698032399</v>
      </c>
    </row>
    <row r="251" spans="1:9">
      <c r="A251">
        <v>1</v>
      </c>
      <c r="B251">
        <v>2</v>
      </c>
      <c r="C251" t="s">
        <v>84</v>
      </c>
      <c r="D251" t="s">
        <v>113</v>
      </c>
      <c r="E251" t="s">
        <v>23</v>
      </c>
      <c r="F251" t="s">
        <v>32</v>
      </c>
      <c r="G251" t="s">
        <v>37</v>
      </c>
      <c r="H251">
        <v>2027</v>
      </c>
      <c r="I251">
        <v>2.756758068550655</v>
      </c>
    </row>
    <row r="252" spans="1:9">
      <c r="A252">
        <v>1</v>
      </c>
      <c r="B252">
        <v>2</v>
      </c>
      <c r="C252" t="s">
        <v>84</v>
      </c>
      <c r="D252" t="s">
        <v>113</v>
      </c>
      <c r="E252" t="s">
        <v>23</v>
      </c>
      <c r="F252" t="s">
        <v>32</v>
      </c>
      <c r="G252" t="s">
        <v>37</v>
      </c>
      <c r="H252">
        <v>2028</v>
      </c>
      <c r="I252">
        <v>3.3695929292173039</v>
      </c>
    </row>
    <row r="253" spans="1:9">
      <c r="A253">
        <v>1</v>
      </c>
      <c r="B253">
        <v>2</v>
      </c>
      <c r="C253" t="s">
        <v>84</v>
      </c>
      <c r="D253" t="s">
        <v>113</v>
      </c>
      <c r="E253" t="s">
        <v>23</v>
      </c>
      <c r="F253" t="s">
        <v>32</v>
      </c>
      <c r="G253" t="s">
        <v>37</v>
      </c>
      <c r="H253">
        <v>2029</v>
      </c>
      <c r="I253">
        <v>3.0666327664831461</v>
      </c>
    </row>
    <row r="254" spans="1:9">
      <c r="A254">
        <v>1</v>
      </c>
      <c r="B254">
        <v>2</v>
      </c>
      <c r="C254" t="s">
        <v>84</v>
      </c>
      <c r="D254" t="s">
        <v>113</v>
      </c>
      <c r="E254" t="s">
        <v>23</v>
      </c>
      <c r="F254" t="s">
        <v>32</v>
      </c>
      <c r="G254" t="s">
        <v>37</v>
      </c>
      <c r="H254">
        <v>2030</v>
      </c>
      <c r="I254">
        <v>2.118770768252026</v>
      </c>
    </row>
    <row r="255" spans="1:9">
      <c r="A255">
        <v>1</v>
      </c>
      <c r="B255">
        <v>2</v>
      </c>
      <c r="C255" t="s">
        <v>84</v>
      </c>
      <c r="D255" t="s">
        <v>113</v>
      </c>
      <c r="E255" t="s">
        <v>23</v>
      </c>
      <c r="F255" t="s">
        <v>32</v>
      </c>
      <c r="G255" t="s">
        <v>37</v>
      </c>
      <c r="H255">
        <v>2031</v>
      </c>
      <c r="I255">
        <v>3.3069651504078696</v>
      </c>
    </row>
    <row r="256" spans="1:9">
      <c r="A256">
        <v>1</v>
      </c>
      <c r="B256">
        <v>2</v>
      </c>
      <c r="C256" t="s">
        <v>84</v>
      </c>
      <c r="D256" t="s">
        <v>113</v>
      </c>
      <c r="E256" t="s">
        <v>23</v>
      </c>
      <c r="F256" t="s">
        <v>32</v>
      </c>
      <c r="G256" t="s">
        <v>37</v>
      </c>
      <c r="H256">
        <v>2032</v>
      </c>
      <c r="I256">
        <v>2.6671691254130705</v>
      </c>
    </row>
    <row r="257" spans="1:9">
      <c r="A257">
        <v>1</v>
      </c>
      <c r="B257">
        <v>2</v>
      </c>
      <c r="C257" t="s">
        <v>84</v>
      </c>
      <c r="D257" t="s">
        <v>113</v>
      </c>
      <c r="E257" t="s">
        <v>23</v>
      </c>
      <c r="F257" t="s">
        <v>32</v>
      </c>
      <c r="G257" t="s">
        <v>38</v>
      </c>
      <c r="H257">
        <v>2018</v>
      </c>
      <c r="I257">
        <v>0.66400941560148719</v>
      </c>
    </row>
    <row r="258" spans="1:9">
      <c r="A258">
        <v>1</v>
      </c>
      <c r="B258">
        <v>2</v>
      </c>
      <c r="C258" t="s">
        <v>84</v>
      </c>
      <c r="D258" t="s">
        <v>113</v>
      </c>
      <c r="E258" t="s">
        <v>23</v>
      </c>
      <c r="F258" t="s">
        <v>32</v>
      </c>
      <c r="G258" t="s">
        <v>38</v>
      </c>
      <c r="H258">
        <v>2019</v>
      </c>
      <c r="I258">
        <v>1.1356225661993971</v>
      </c>
    </row>
    <row r="259" spans="1:9">
      <c r="A259">
        <v>1</v>
      </c>
      <c r="B259">
        <v>2</v>
      </c>
      <c r="C259" t="s">
        <v>84</v>
      </c>
      <c r="D259" t="s">
        <v>113</v>
      </c>
      <c r="E259" t="s">
        <v>23</v>
      </c>
      <c r="F259" t="s">
        <v>32</v>
      </c>
      <c r="G259" t="s">
        <v>38</v>
      </c>
      <c r="H259">
        <v>2020</v>
      </c>
      <c r="I259">
        <v>0.99422979131627964</v>
      </c>
    </row>
    <row r="260" spans="1:9">
      <c r="A260">
        <v>1</v>
      </c>
      <c r="B260">
        <v>2</v>
      </c>
      <c r="C260" t="s">
        <v>84</v>
      </c>
      <c r="D260" t="s">
        <v>113</v>
      </c>
      <c r="E260" t="s">
        <v>23</v>
      </c>
      <c r="F260" t="s">
        <v>32</v>
      </c>
      <c r="G260" t="s">
        <v>38</v>
      </c>
      <c r="H260">
        <v>2021</v>
      </c>
      <c r="I260">
        <v>0.94889059355773253</v>
      </c>
    </row>
    <row r="261" spans="1:9">
      <c r="A261">
        <v>1</v>
      </c>
      <c r="B261">
        <v>2</v>
      </c>
      <c r="C261" t="s">
        <v>84</v>
      </c>
      <c r="D261" t="s">
        <v>113</v>
      </c>
      <c r="E261" t="s">
        <v>23</v>
      </c>
      <c r="F261" t="s">
        <v>32</v>
      </c>
      <c r="G261" t="s">
        <v>38</v>
      </c>
      <c r="H261">
        <v>2022</v>
      </c>
      <c r="I261">
        <v>1.1757671553950741</v>
      </c>
    </row>
    <row r="262" spans="1:9">
      <c r="A262">
        <v>1</v>
      </c>
      <c r="B262">
        <v>2</v>
      </c>
      <c r="C262" t="s">
        <v>84</v>
      </c>
      <c r="D262" t="s">
        <v>113</v>
      </c>
      <c r="E262" t="s">
        <v>23</v>
      </c>
      <c r="F262" t="s">
        <v>32</v>
      </c>
      <c r="G262" t="s">
        <v>38</v>
      </c>
      <c r="H262">
        <v>2023</v>
      </c>
      <c r="I262">
        <v>0.9853532952101951</v>
      </c>
    </row>
    <row r="263" spans="1:9">
      <c r="A263">
        <v>1</v>
      </c>
      <c r="B263">
        <v>2</v>
      </c>
      <c r="C263" t="s">
        <v>84</v>
      </c>
      <c r="D263" t="s">
        <v>113</v>
      </c>
      <c r="E263" t="s">
        <v>23</v>
      </c>
      <c r="F263" t="s">
        <v>32</v>
      </c>
      <c r="G263" t="s">
        <v>38</v>
      </c>
      <c r="H263">
        <v>2024</v>
      </c>
      <c r="I263">
        <v>1.4608316741886753</v>
      </c>
    </row>
    <row r="264" spans="1:9">
      <c r="A264">
        <v>1</v>
      </c>
      <c r="B264">
        <v>2</v>
      </c>
      <c r="C264" t="s">
        <v>84</v>
      </c>
      <c r="D264" t="s">
        <v>113</v>
      </c>
      <c r="E264" t="s">
        <v>23</v>
      </c>
      <c r="F264" t="s">
        <v>32</v>
      </c>
      <c r="G264" t="s">
        <v>38</v>
      </c>
      <c r="H264">
        <v>2025</v>
      </c>
      <c r="I264">
        <v>1.3798904523902054</v>
      </c>
    </row>
    <row r="265" spans="1:9">
      <c r="A265">
        <v>1</v>
      </c>
      <c r="B265">
        <v>2</v>
      </c>
      <c r="C265" t="s">
        <v>84</v>
      </c>
      <c r="D265" t="s">
        <v>113</v>
      </c>
      <c r="E265" t="s">
        <v>23</v>
      </c>
      <c r="F265" t="s">
        <v>32</v>
      </c>
      <c r="G265" t="s">
        <v>38</v>
      </c>
      <c r="H265">
        <v>2026</v>
      </c>
      <c r="I265">
        <v>1.5370173841479742</v>
      </c>
    </row>
    <row r="266" spans="1:9">
      <c r="A266">
        <v>1</v>
      </c>
      <c r="B266">
        <v>2</v>
      </c>
      <c r="C266" t="s">
        <v>84</v>
      </c>
      <c r="D266" t="s">
        <v>113</v>
      </c>
      <c r="E266" t="s">
        <v>23</v>
      </c>
      <c r="F266" t="s">
        <v>32</v>
      </c>
      <c r="G266" t="s">
        <v>38</v>
      </c>
      <c r="H266">
        <v>2027</v>
      </c>
      <c r="I266">
        <v>1.1197123188867459</v>
      </c>
    </row>
    <row r="267" spans="1:9">
      <c r="A267">
        <v>1</v>
      </c>
      <c r="B267">
        <v>2</v>
      </c>
      <c r="C267" t="s">
        <v>84</v>
      </c>
      <c r="D267" t="s">
        <v>113</v>
      </c>
      <c r="E267" t="s">
        <v>23</v>
      </c>
      <c r="F267" t="s">
        <v>32</v>
      </c>
      <c r="G267" t="s">
        <v>38</v>
      </c>
      <c r="H267">
        <v>2028</v>
      </c>
      <c r="I267">
        <v>1.1878608325789641</v>
      </c>
    </row>
    <row r="268" spans="1:9">
      <c r="A268">
        <v>1</v>
      </c>
      <c r="B268">
        <v>2</v>
      </c>
      <c r="C268" t="s">
        <v>84</v>
      </c>
      <c r="D268" t="s">
        <v>113</v>
      </c>
      <c r="E268" t="s">
        <v>23</v>
      </c>
      <c r="F268" t="s">
        <v>32</v>
      </c>
      <c r="G268" t="s">
        <v>38</v>
      </c>
      <c r="H268">
        <v>2029</v>
      </c>
      <c r="I268">
        <v>1.5235706500632213</v>
      </c>
    </row>
    <row r="269" spans="1:9">
      <c r="A269">
        <v>1</v>
      </c>
      <c r="B269">
        <v>2</v>
      </c>
      <c r="C269" t="s">
        <v>84</v>
      </c>
      <c r="D269" t="s">
        <v>113</v>
      </c>
      <c r="E269" t="s">
        <v>23</v>
      </c>
      <c r="F269" t="s">
        <v>32</v>
      </c>
      <c r="G269" t="s">
        <v>38</v>
      </c>
      <c r="H269">
        <v>2030</v>
      </c>
      <c r="I269">
        <v>1.7598827954222107</v>
      </c>
    </row>
    <row r="270" spans="1:9">
      <c r="A270">
        <v>1</v>
      </c>
      <c r="B270">
        <v>2</v>
      </c>
      <c r="C270" t="s">
        <v>84</v>
      </c>
      <c r="D270" t="s">
        <v>113</v>
      </c>
      <c r="E270" t="s">
        <v>23</v>
      </c>
      <c r="F270" t="s">
        <v>32</v>
      </c>
      <c r="G270" t="s">
        <v>38</v>
      </c>
      <c r="H270">
        <v>2031</v>
      </c>
      <c r="I270">
        <v>1.5832159035627584</v>
      </c>
    </row>
    <row r="271" spans="1:9">
      <c r="A271">
        <v>1</v>
      </c>
      <c r="B271">
        <v>2</v>
      </c>
      <c r="C271" t="s">
        <v>84</v>
      </c>
      <c r="D271" t="s">
        <v>113</v>
      </c>
      <c r="E271" t="s">
        <v>23</v>
      </c>
      <c r="F271" t="s">
        <v>32</v>
      </c>
      <c r="G271" t="s">
        <v>38</v>
      </c>
      <c r="H271">
        <v>2032</v>
      </c>
      <c r="I271">
        <v>1.5546765976786774</v>
      </c>
    </row>
    <row r="272" spans="1:9">
      <c r="A272">
        <v>1</v>
      </c>
      <c r="B272">
        <v>2</v>
      </c>
      <c r="C272" t="s">
        <v>84</v>
      </c>
      <c r="D272" t="s">
        <v>114</v>
      </c>
      <c r="E272" t="s">
        <v>25</v>
      </c>
      <c r="F272" t="s">
        <v>115</v>
      </c>
      <c r="G272" t="s">
        <v>37</v>
      </c>
      <c r="H272">
        <v>2018</v>
      </c>
      <c r="I272">
        <v>1.3491873799492802</v>
      </c>
    </row>
    <row r="273" spans="1:9">
      <c r="A273">
        <v>1</v>
      </c>
      <c r="B273">
        <v>2</v>
      </c>
      <c r="C273" t="s">
        <v>84</v>
      </c>
      <c r="D273" t="s">
        <v>114</v>
      </c>
      <c r="E273" t="s">
        <v>25</v>
      </c>
      <c r="F273" t="s">
        <v>115</v>
      </c>
      <c r="G273" t="s">
        <v>37</v>
      </c>
      <c r="H273">
        <v>2019</v>
      </c>
      <c r="I273">
        <v>2.2107927295334506</v>
      </c>
    </row>
    <row r="274" spans="1:9">
      <c r="A274">
        <v>1</v>
      </c>
      <c r="B274">
        <v>2</v>
      </c>
      <c r="C274" t="s">
        <v>84</v>
      </c>
      <c r="D274" t="s">
        <v>114</v>
      </c>
      <c r="E274" t="s">
        <v>25</v>
      </c>
      <c r="F274" t="s">
        <v>115</v>
      </c>
      <c r="G274" t="s">
        <v>37</v>
      </c>
      <c r="H274">
        <v>2020</v>
      </c>
      <c r="I274">
        <v>1.8112519661006659</v>
      </c>
    </row>
    <row r="275" spans="1:9">
      <c r="A275">
        <v>1</v>
      </c>
      <c r="B275">
        <v>2</v>
      </c>
      <c r="C275" t="s">
        <v>84</v>
      </c>
      <c r="D275" t="s">
        <v>114</v>
      </c>
      <c r="E275" t="s">
        <v>25</v>
      </c>
      <c r="F275" t="s">
        <v>115</v>
      </c>
      <c r="G275" t="s">
        <v>37</v>
      </c>
      <c r="H275">
        <v>2021</v>
      </c>
      <c r="I275">
        <v>2.081386200487116</v>
      </c>
    </row>
    <row r="276" spans="1:9">
      <c r="A276">
        <v>1</v>
      </c>
      <c r="B276">
        <v>2</v>
      </c>
      <c r="C276" t="s">
        <v>84</v>
      </c>
      <c r="D276" t="s">
        <v>114</v>
      </c>
      <c r="E276" t="s">
        <v>25</v>
      </c>
      <c r="F276" t="s">
        <v>115</v>
      </c>
      <c r="G276" t="s">
        <v>37</v>
      </c>
      <c r="H276">
        <v>2022</v>
      </c>
      <c r="I276">
        <v>2.1884548371099983</v>
      </c>
    </row>
    <row r="277" spans="1:9">
      <c r="A277">
        <v>1</v>
      </c>
      <c r="B277">
        <v>2</v>
      </c>
      <c r="C277" t="s">
        <v>84</v>
      </c>
      <c r="D277" t="s">
        <v>114</v>
      </c>
      <c r="E277" t="s">
        <v>25</v>
      </c>
      <c r="F277" t="s">
        <v>115</v>
      </c>
      <c r="G277" t="s">
        <v>37</v>
      </c>
      <c r="H277">
        <v>2023</v>
      </c>
      <c r="I277">
        <v>2.1090224852524004</v>
      </c>
    </row>
    <row r="278" spans="1:9">
      <c r="A278">
        <v>1</v>
      </c>
      <c r="B278">
        <v>2</v>
      </c>
      <c r="C278" t="s">
        <v>84</v>
      </c>
      <c r="D278" t="s">
        <v>114</v>
      </c>
      <c r="E278" t="s">
        <v>25</v>
      </c>
      <c r="F278" t="s">
        <v>115</v>
      </c>
      <c r="G278" t="s">
        <v>37</v>
      </c>
      <c r="H278">
        <v>2024</v>
      </c>
      <c r="I278">
        <v>2.9621958598718008</v>
      </c>
    </row>
    <row r="279" spans="1:9">
      <c r="A279">
        <v>1</v>
      </c>
      <c r="B279">
        <v>2</v>
      </c>
      <c r="C279" t="s">
        <v>84</v>
      </c>
      <c r="D279" t="s">
        <v>114</v>
      </c>
      <c r="E279" t="s">
        <v>25</v>
      </c>
      <c r="F279" t="s">
        <v>115</v>
      </c>
      <c r="G279" t="s">
        <v>37</v>
      </c>
      <c r="H279">
        <v>2025</v>
      </c>
      <c r="I279">
        <v>2.7714152618335013</v>
      </c>
    </row>
    <row r="280" spans="1:9">
      <c r="A280">
        <v>1</v>
      </c>
      <c r="B280">
        <v>2</v>
      </c>
      <c r="C280" t="s">
        <v>84</v>
      </c>
      <c r="D280" t="s">
        <v>114</v>
      </c>
      <c r="E280" t="s">
        <v>25</v>
      </c>
      <c r="F280" t="s">
        <v>115</v>
      </c>
      <c r="G280" t="s">
        <v>37</v>
      </c>
      <c r="H280">
        <v>2026</v>
      </c>
      <c r="I280">
        <v>2.133866057063031</v>
      </c>
    </row>
    <row r="281" spans="1:9">
      <c r="A281">
        <v>1</v>
      </c>
      <c r="B281">
        <v>2</v>
      </c>
      <c r="C281" t="s">
        <v>84</v>
      </c>
      <c r="D281" t="s">
        <v>114</v>
      </c>
      <c r="E281" t="s">
        <v>25</v>
      </c>
      <c r="F281" t="s">
        <v>115</v>
      </c>
      <c r="G281" t="s">
        <v>37</v>
      </c>
      <c r="H281">
        <v>2027</v>
      </c>
      <c r="I281">
        <v>2.4093673785714014</v>
      </c>
    </row>
    <row r="282" spans="1:9">
      <c r="A282">
        <v>1</v>
      </c>
      <c r="B282">
        <v>2</v>
      </c>
      <c r="C282" t="s">
        <v>84</v>
      </c>
      <c r="D282" t="s">
        <v>114</v>
      </c>
      <c r="E282" t="s">
        <v>25</v>
      </c>
      <c r="F282" t="s">
        <v>115</v>
      </c>
      <c r="G282" t="s">
        <v>37</v>
      </c>
      <c r="H282">
        <v>2028</v>
      </c>
      <c r="I282">
        <v>2.6529559168406864</v>
      </c>
    </row>
    <row r="283" spans="1:9">
      <c r="A283">
        <v>1</v>
      </c>
      <c r="B283">
        <v>2</v>
      </c>
      <c r="C283" t="s">
        <v>84</v>
      </c>
      <c r="D283" t="s">
        <v>114</v>
      </c>
      <c r="E283" t="s">
        <v>25</v>
      </c>
      <c r="F283" t="s">
        <v>115</v>
      </c>
      <c r="G283" t="s">
        <v>37</v>
      </c>
      <c r="H283">
        <v>2029</v>
      </c>
      <c r="I283">
        <v>2.9905033143315674</v>
      </c>
    </row>
    <row r="284" spans="1:9">
      <c r="A284">
        <v>1</v>
      </c>
      <c r="B284">
        <v>2</v>
      </c>
      <c r="C284" t="s">
        <v>84</v>
      </c>
      <c r="D284" t="s">
        <v>114</v>
      </c>
      <c r="E284" t="s">
        <v>25</v>
      </c>
      <c r="F284" t="s">
        <v>115</v>
      </c>
      <c r="G284" t="s">
        <v>37</v>
      </c>
      <c r="H284">
        <v>2030</v>
      </c>
      <c r="I284">
        <v>3.8063847149978622</v>
      </c>
    </row>
    <row r="285" spans="1:9">
      <c r="A285">
        <v>1</v>
      </c>
      <c r="B285">
        <v>2</v>
      </c>
      <c r="C285" t="s">
        <v>84</v>
      </c>
      <c r="D285" t="s">
        <v>114</v>
      </c>
      <c r="E285" t="s">
        <v>25</v>
      </c>
      <c r="F285" t="s">
        <v>115</v>
      </c>
      <c r="G285" t="s">
        <v>37</v>
      </c>
      <c r="H285">
        <v>2031</v>
      </c>
      <c r="I285">
        <v>2.3907933855886876</v>
      </c>
    </row>
    <row r="286" spans="1:9">
      <c r="A286">
        <v>1</v>
      </c>
      <c r="B286">
        <v>2</v>
      </c>
      <c r="C286" t="s">
        <v>84</v>
      </c>
      <c r="D286" t="s">
        <v>114</v>
      </c>
      <c r="E286" t="s">
        <v>25</v>
      </c>
      <c r="F286" t="s">
        <v>115</v>
      </c>
      <c r="G286" t="s">
        <v>37</v>
      </c>
      <c r="H286">
        <v>2032</v>
      </c>
      <c r="I286">
        <v>2.2952266117694693</v>
      </c>
    </row>
    <row r="287" spans="1:9">
      <c r="A287">
        <v>1</v>
      </c>
      <c r="B287">
        <v>2</v>
      </c>
      <c r="C287" t="s">
        <v>84</v>
      </c>
      <c r="D287" t="s">
        <v>114</v>
      </c>
      <c r="E287" t="s">
        <v>25</v>
      </c>
      <c r="F287" t="s">
        <v>115</v>
      </c>
      <c r="G287" t="s">
        <v>38</v>
      </c>
      <c r="H287">
        <v>2018</v>
      </c>
      <c r="I287">
        <v>0.92527196254486155</v>
      </c>
    </row>
    <row r="288" spans="1:9">
      <c r="A288">
        <v>1</v>
      </c>
      <c r="B288">
        <v>2</v>
      </c>
      <c r="C288" t="s">
        <v>84</v>
      </c>
      <c r="D288" t="s">
        <v>114</v>
      </c>
      <c r="E288" t="s">
        <v>25</v>
      </c>
      <c r="F288" t="s">
        <v>115</v>
      </c>
      <c r="G288" t="s">
        <v>38</v>
      </c>
      <c r="H288">
        <v>2019</v>
      </c>
      <c r="I288">
        <v>1.0638439992697424</v>
      </c>
    </row>
    <row r="289" spans="1:9">
      <c r="A289">
        <v>1</v>
      </c>
      <c r="B289">
        <v>2</v>
      </c>
      <c r="C289" t="s">
        <v>84</v>
      </c>
      <c r="D289" t="s">
        <v>114</v>
      </c>
      <c r="E289" t="s">
        <v>25</v>
      </c>
      <c r="F289" t="s">
        <v>115</v>
      </c>
      <c r="G289" t="s">
        <v>38</v>
      </c>
      <c r="H289">
        <v>2020</v>
      </c>
      <c r="I289">
        <v>0.90216873368694062</v>
      </c>
    </row>
    <row r="290" spans="1:9">
      <c r="A290">
        <v>1</v>
      </c>
      <c r="B290">
        <v>2</v>
      </c>
      <c r="C290" t="s">
        <v>84</v>
      </c>
      <c r="D290" t="s">
        <v>114</v>
      </c>
      <c r="E290" t="s">
        <v>25</v>
      </c>
      <c r="F290" t="s">
        <v>115</v>
      </c>
      <c r="G290" t="s">
        <v>38</v>
      </c>
      <c r="H290">
        <v>2021</v>
      </c>
      <c r="I290">
        <v>1.0074316004359654</v>
      </c>
    </row>
    <row r="291" spans="1:9">
      <c r="A291">
        <v>1</v>
      </c>
      <c r="B291">
        <v>2</v>
      </c>
      <c r="C291" t="s">
        <v>84</v>
      </c>
      <c r="D291" t="s">
        <v>114</v>
      </c>
      <c r="E291" t="s">
        <v>25</v>
      </c>
      <c r="F291" t="s">
        <v>115</v>
      </c>
      <c r="G291" t="s">
        <v>38</v>
      </c>
      <c r="H291">
        <v>2022</v>
      </c>
      <c r="I291">
        <v>1.3396871727270465</v>
      </c>
    </row>
    <row r="292" spans="1:9">
      <c r="A292">
        <v>1</v>
      </c>
      <c r="B292">
        <v>2</v>
      </c>
      <c r="C292" t="s">
        <v>84</v>
      </c>
      <c r="D292" t="s">
        <v>114</v>
      </c>
      <c r="E292" t="s">
        <v>25</v>
      </c>
      <c r="F292" t="s">
        <v>115</v>
      </c>
      <c r="G292" t="s">
        <v>38</v>
      </c>
      <c r="H292">
        <v>2023</v>
      </c>
      <c r="I292">
        <v>1.075872452543482</v>
      </c>
    </row>
    <row r="293" spans="1:9">
      <c r="A293">
        <v>1</v>
      </c>
      <c r="B293">
        <v>2</v>
      </c>
      <c r="C293" t="s">
        <v>84</v>
      </c>
      <c r="D293" t="s">
        <v>114</v>
      </c>
      <c r="E293" t="s">
        <v>25</v>
      </c>
      <c r="F293" t="s">
        <v>115</v>
      </c>
      <c r="G293" t="s">
        <v>38</v>
      </c>
      <c r="H293">
        <v>2024</v>
      </c>
      <c r="I293">
        <v>0.90148136502432596</v>
      </c>
    </row>
    <row r="294" spans="1:9">
      <c r="A294">
        <v>1</v>
      </c>
      <c r="B294">
        <v>2</v>
      </c>
      <c r="C294" t="s">
        <v>84</v>
      </c>
      <c r="D294" t="s">
        <v>114</v>
      </c>
      <c r="E294" t="s">
        <v>25</v>
      </c>
      <c r="F294" t="s">
        <v>115</v>
      </c>
      <c r="G294" t="s">
        <v>38</v>
      </c>
      <c r="H294">
        <v>2025</v>
      </c>
      <c r="I294">
        <v>1.6170186762479153</v>
      </c>
    </row>
    <row r="295" spans="1:9">
      <c r="A295">
        <v>1</v>
      </c>
      <c r="B295">
        <v>2</v>
      </c>
      <c r="C295" t="s">
        <v>84</v>
      </c>
      <c r="D295" t="s">
        <v>114</v>
      </c>
      <c r="E295" t="s">
        <v>25</v>
      </c>
      <c r="F295" t="s">
        <v>115</v>
      </c>
      <c r="G295" t="s">
        <v>38</v>
      </c>
      <c r="H295">
        <v>2026</v>
      </c>
      <c r="I295">
        <v>1.4773671612136772</v>
      </c>
    </row>
    <row r="296" spans="1:9">
      <c r="A296">
        <v>1</v>
      </c>
      <c r="B296">
        <v>2</v>
      </c>
      <c r="C296" t="s">
        <v>84</v>
      </c>
      <c r="D296" t="s">
        <v>114</v>
      </c>
      <c r="E296" t="s">
        <v>25</v>
      </c>
      <c r="F296" t="s">
        <v>115</v>
      </c>
      <c r="G296" t="s">
        <v>38</v>
      </c>
      <c r="H296">
        <v>2027</v>
      </c>
      <c r="I296">
        <v>0.90125716832638958</v>
      </c>
    </row>
    <row r="297" spans="1:9">
      <c r="A297">
        <v>1</v>
      </c>
      <c r="B297">
        <v>2</v>
      </c>
      <c r="C297" t="s">
        <v>84</v>
      </c>
      <c r="D297" t="s">
        <v>114</v>
      </c>
      <c r="E297" t="s">
        <v>25</v>
      </c>
      <c r="F297" t="s">
        <v>115</v>
      </c>
      <c r="G297" t="s">
        <v>38</v>
      </c>
      <c r="H297">
        <v>2028</v>
      </c>
      <c r="I297">
        <v>1.6456212856920853</v>
      </c>
    </row>
    <row r="298" spans="1:9">
      <c r="A298">
        <v>1</v>
      </c>
      <c r="B298">
        <v>2</v>
      </c>
      <c r="C298" t="s">
        <v>84</v>
      </c>
      <c r="D298" t="s">
        <v>114</v>
      </c>
      <c r="E298" t="s">
        <v>25</v>
      </c>
      <c r="F298" t="s">
        <v>115</v>
      </c>
      <c r="G298" t="s">
        <v>38</v>
      </c>
      <c r="H298">
        <v>2029</v>
      </c>
      <c r="I298">
        <v>1.697857411990773</v>
      </c>
    </row>
    <row r="299" spans="1:9">
      <c r="A299">
        <v>1</v>
      </c>
      <c r="B299">
        <v>2</v>
      </c>
      <c r="C299" t="s">
        <v>84</v>
      </c>
      <c r="D299" t="s">
        <v>114</v>
      </c>
      <c r="E299" t="s">
        <v>25</v>
      </c>
      <c r="F299" t="s">
        <v>115</v>
      </c>
      <c r="G299" t="s">
        <v>38</v>
      </c>
      <c r="H299">
        <v>2030</v>
      </c>
      <c r="I299">
        <v>1.7703673826768576</v>
      </c>
    </row>
    <row r="300" spans="1:9">
      <c r="A300">
        <v>1</v>
      </c>
      <c r="B300">
        <v>2</v>
      </c>
      <c r="C300" t="s">
        <v>84</v>
      </c>
      <c r="D300" t="s">
        <v>114</v>
      </c>
      <c r="E300" t="s">
        <v>25</v>
      </c>
      <c r="F300" t="s">
        <v>115</v>
      </c>
      <c r="G300" t="s">
        <v>38</v>
      </c>
      <c r="H300">
        <v>2031</v>
      </c>
      <c r="I300">
        <v>1.081138496711771</v>
      </c>
    </row>
    <row r="301" spans="1:9">
      <c r="A301">
        <v>1</v>
      </c>
      <c r="B301">
        <v>2</v>
      </c>
      <c r="C301" t="s">
        <v>84</v>
      </c>
      <c r="D301" t="s">
        <v>114</v>
      </c>
      <c r="E301" t="s">
        <v>25</v>
      </c>
      <c r="F301" t="s">
        <v>115</v>
      </c>
      <c r="G301" t="s">
        <v>38</v>
      </c>
      <c r="H301">
        <v>2032</v>
      </c>
      <c r="I301">
        <v>1.5147271922604215</v>
      </c>
    </row>
    <row r="302" spans="1:9">
      <c r="A302">
        <v>1</v>
      </c>
      <c r="B302">
        <v>2</v>
      </c>
      <c r="C302" t="s">
        <v>84</v>
      </c>
      <c r="D302" t="s">
        <v>114</v>
      </c>
      <c r="E302" t="s">
        <v>25</v>
      </c>
      <c r="F302" t="s">
        <v>116</v>
      </c>
      <c r="G302" t="s">
        <v>37</v>
      </c>
      <c r="H302">
        <v>2018</v>
      </c>
      <c r="I302">
        <v>0.79140204142181092</v>
      </c>
    </row>
    <row r="303" spans="1:9">
      <c r="A303">
        <v>1</v>
      </c>
      <c r="B303">
        <v>2</v>
      </c>
      <c r="C303" t="s">
        <v>84</v>
      </c>
      <c r="D303" t="s">
        <v>114</v>
      </c>
      <c r="E303" t="s">
        <v>25</v>
      </c>
      <c r="F303" t="s">
        <v>116</v>
      </c>
      <c r="G303" t="s">
        <v>37</v>
      </c>
      <c r="H303">
        <v>2019</v>
      </c>
      <c r="I303">
        <v>1.0092658444696614</v>
      </c>
    </row>
    <row r="304" spans="1:9">
      <c r="A304">
        <v>1</v>
      </c>
      <c r="B304">
        <v>2</v>
      </c>
      <c r="C304" t="s">
        <v>84</v>
      </c>
      <c r="D304" t="s">
        <v>114</v>
      </c>
      <c r="E304" t="s">
        <v>25</v>
      </c>
      <c r="F304" t="s">
        <v>116</v>
      </c>
      <c r="G304" t="s">
        <v>37</v>
      </c>
      <c r="H304">
        <v>2020</v>
      </c>
      <c r="I304">
        <v>1.0734332844326975</v>
      </c>
    </row>
    <row r="305" spans="1:9">
      <c r="A305">
        <v>1</v>
      </c>
      <c r="B305">
        <v>2</v>
      </c>
      <c r="C305" t="s">
        <v>84</v>
      </c>
      <c r="D305" t="s">
        <v>114</v>
      </c>
      <c r="E305" t="s">
        <v>25</v>
      </c>
      <c r="F305" t="s">
        <v>116</v>
      </c>
      <c r="G305" t="s">
        <v>37</v>
      </c>
      <c r="H305">
        <v>2021</v>
      </c>
      <c r="I305">
        <v>1.0345601930126644</v>
      </c>
    </row>
    <row r="306" spans="1:9">
      <c r="A306">
        <v>1</v>
      </c>
      <c r="B306">
        <v>2</v>
      </c>
      <c r="C306" t="s">
        <v>84</v>
      </c>
      <c r="D306" t="s">
        <v>114</v>
      </c>
      <c r="E306" t="s">
        <v>25</v>
      </c>
      <c r="F306" t="s">
        <v>116</v>
      </c>
      <c r="G306" t="s">
        <v>37</v>
      </c>
      <c r="H306">
        <v>2022</v>
      </c>
      <c r="I306">
        <v>1.1069944968526262</v>
      </c>
    </row>
    <row r="307" spans="1:9">
      <c r="A307">
        <v>1</v>
      </c>
      <c r="B307">
        <v>2</v>
      </c>
      <c r="C307" t="s">
        <v>84</v>
      </c>
      <c r="D307" t="s">
        <v>114</v>
      </c>
      <c r="E307" t="s">
        <v>25</v>
      </c>
      <c r="F307" t="s">
        <v>116</v>
      </c>
      <c r="G307" t="s">
        <v>37</v>
      </c>
      <c r="H307">
        <v>2023</v>
      </c>
      <c r="I307">
        <v>0.90977372303981896</v>
      </c>
    </row>
    <row r="308" spans="1:9">
      <c r="A308">
        <v>1</v>
      </c>
      <c r="B308">
        <v>2</v>
      </c>
      <c r="C308" t="s">
        <v>84</v>
      </c>
      <c r="D308" t="s">
        <v>114</v>
      </c>
      <c r="E308" t="s">
        <v>25</v>
      </c>
      <c r="F308" t="s">
        <v>116</v>
      </c>
      <c r="G308" t="s">
        <v>37</v>
      </c>
      <c r="H308">
        <v>2024</v>
      </c>
      <c r="I308">
        <v>0.84706898010097142</v>
      </c>
    </row>
    <row r="309" spans="1:9">
      <c r="A309">
        <v>1</v>
      </c>
      <c r="B309">
        <v>2</v>
      </c>
      <c r="C309" t="s">
        <v>84</v>
      </c>
      <c r="D309" t="s">
        <v>114</v>
      </c>
      <c r="E309" t="s">
        <v>25</v>
      </c>
      <c r="F309" t="s">
        <v>116</v>
      </c>
      <c r="G309" t="s">
        <v>37</v>
      </c>
      <c r="H309">
        <v>2025</v>
      </c>
      <c r="I309">
        <v>1.2380012180782334</v>
      </c>
    </row>
    <row r="310" spans="1:9">
      <c r="A310">
        <v>1</v>
      </c>
      <c r="B310">
        <v>2</v>
      </c>
      <c r="C310" t="s">
        <v>84</v>
      </c>
      <c r="D310" t="s">
        <v>114</v>
      </c>
      <c r="E310" t="s">
        <v>25</v>
      </c>
      <c r="F310" t="s">
        <v>116</v>
      </c>
      <c r="G310" t="s">
        <v>37</v>
      </c>
      <c r="H310">
        <v>2026</v>
      </c>
      <c r="I310">
        <v>1.4881118001343967</v>
      </c>
    </row>
    <row r="311" spans="1:9">
      <c r="A311">
        <v>1</v>
      </c>
      <c r="B311">
        <v>2</v>
      </c>
      <c r="C311" t="s">
        <v>84</v>
      </c>
      <c r="D311" t="s">
        <v>114</v>
      </c>
      <c r="E311" t="s">
        <v>25</v>
      </c>
      <c r="F311" t="s">
        <v>116</v>
      </c>
      <c r="G311" t="s">
        <v>37</v>
      </c>
      <c r="H311">
        <v>2027</v>
      </c>
      <c r="I311">
        <v>1.4568653474976565</v>
      </c>
    </row>
    <row r="312" spans="1:9">
      <c r="A312">
        <v>1</v>
      </c>
      <c r="B312">
        <v>2</v>
      </c>
      <c r="C312" t="s">
        <v>84</v>
      </c>
      <c r="D312" t="s">
        <v>114</v>
      </c>
      <c r="E312" t="s">
        <v>25</v>
      </c>
      <c r="F312" t="s">
        <v>116</v>
      </c>
      <c r="G312" t="s">
        <v>37</v>
      </c>
      <c r="H312">
        <v>2028</v>
      </c>
      <c r="I312">
        <v>0.93700143382000034</v>
      </c>
    </row>
    <row r="313" spans="1:9">
      <c r="A313">
        <v>1</v>
      </c>
      <c r="B313">
        <v>2</v>
      </c>
      <c r="C313" t="s">
        <v>84</v>
      </c>
      <c r="D313" t="s">
        <v>114</v>
      </c>
      <c r="E313" t="s">
        <v>25</v>
      </c>
      <c r="F313" t="s">
        <v>116</v>
      </c>
      <c r="G313" t="s">
        <v>37</v>
      </c>
      <c r="H313">
        <v>2029</v>
      </c>
      <c r="I313">
        <v>0.98254393080602842</v>
      </c>
    </row>
    <row r="314" spans="1:9">
      <c r="A314">
        <v>1</v>
      </c>
      <c r="B314">
        <v>2</v>
      </c>
      <c r="C314" t="s">
        <v>84</v>
      </c>
      <c r="D314" t="s">
        <v>114</v>
      </c>
      <c r="E314" t="s">
        <v>25</v>
      </c>
      <c r="F314" t="s">
        <v>116</v>
      </c>
      <c r="G314" t="s">
        <v>37</v>
      </c>
      <c r="H314">
        <v>2030</v>
      </c>
      <c r="I314">
        <v>1.0042876746536791</v>
      </c>
    </row>
    <row r="315" spans="1:9">
      <c r="A315">
        <v>1</v>
      </c>
      <c r="B315">
        <v>2</v>
      </c>
      <c r="C315" t="s">
        <v>84</v>
      </c>
      <c r="D315" t="s">
        <v>114</v>
      </c>
      <c r="E315" t="s">
        <v>25</v>
      </c>
      <c r="F315" t="s">
        <v>116</v>
      </c>
      <c r="G315" t="s">
        <v>37</v>
      </c>
      <c r="H315">
        <v>2031</v>
      </c>
      <c r="I315">
        <v>1.3338481766962662</v>
      </c>
    </row>
    <row r="316" spans="1:9">
      <c r="A316">
        <v>1</v>
      </c>
      <c r="B316">
        <v>2</v>
      </c>
      <c r="C316" t="s">
        <v>84</v>
      </c>
      <c r="D316" t="s">
        <v>114</v>
      </c>
      <c r="E316" t="s">
        <v>25</v>
      </c>
      <c r="F316" t="s">
        <v>116</v>
      </c>
      <c r="G316" t="s">
        <v>37</v>
      </c>
      <c r="H316">
        <v>2032</v>
      </c>
      <c r="I316">
        <v>1.3909103749889271</v>
      </c>
    </row>
    <row r="317" spans="1:9">
      <c r="A317">
        <v>1</v>
      </c>
      <c r="B317">
        <v>2</v>
      </c>
      <c r="C317" t="s">
        <v>84</v>
      </c>
      <c r="D317" t="s">
        <v>114</v>
      </c>
      <c r="E317" t="s">
        <v>25</v>
      </c>
      <c r="F317" t="s">
        <v>116</v>
      </c>
      <c r="G317" t="s">
        <v>38</v>
      </c>
      <c r="H317">
        <v>2018</v>
      </c>
      <c r="I317">
        <v>0.32982294299472598</v>
      </c>
    </row>
    <row r="318" spans="1:9">
      <c r="A318">
        <v>1</v>
      </c>
      <c r="B318">
        <v>2</v>
      </c>
      <c r="C318" t="s">
        <v>84</v>
      </c>
      <c r="D318" t="s">
        <v>114</v>
      </c>
      <c r="E318" t="s">
        <v>25</v>
      </c>
      <c r="F318" t="s">
        <v>116</v>
      </c>
      <c r="G318" t="s">
        <v>38</v>
      </c>
      <c r="H318">
        <v>2019</v>
      </c>
      <c r="I318">
        <v>0.35688227363514741</v>
      </c>
    </row>
    <row r="319" spans="1:9">
      <c r="A319">
        <v>1</v>
      </c>
      <c r="B319">
        <v>2</v>
      </c>
      <c r="C319" t="s">
        <v>84</v>
      </c>
      <c r="D319" t="s">
        <v>114</v>
      </c>
      <c r="E319" t="s">
        <v>25</v>
      </c>
      <c r="F319" t="s">
        <v>116</v>
      </c>
      <c r="G319" t="s">
        <v>38</v>
      </c>
      <c r="H319">
        <v>2020</v>
      </c>
      <c r="I319">
        <v>0.30550629552229047</v>
      </c>
    </row>
    <row r="320" spans="1:9">
      <c r="A320">
        <v>1</v>
      </c>
      <c r="B320">
        <v>2</v>
      </c>
      <c r="C320" t="s">
        <v>84</v>
      </c>
      <c r="D320" t="s">
        <v>114</v>
      </c>
      <c r="E320" t="s">
        <v>25</v>
      </c>
      <c r="F320" t="s">
        <v>116</v>
      </c>
      <c r="G320" t="s">
        <v>38</v>
      </c>
      <c r="H320">
        <v>2021</v>
      </c>
      <c r="I320">
        <v>0.35969471360398242</v>
      </c>
    </row>
    <row r="321" spans="1:9">
      <c r="A321">
        <v>1</v>
      </c>
      <c r="B321">
        <v>2</v>
      </c>
      <c r="C321" t="s">
        <v>84</v>
      </c>
      <c r="D321" t="s">
        <v>114</v>
      </c>
      <c r="E321" t="s">
        <v>25</v>
      </c>
      <c r="F321" t="s">
        <v>116</v>
      </c>
      <c r="G321" t="s">
        <v>38</v>
      </c>
      <c r="H321">
        <v>2022</v>
      </c>
      <c r="I321">
        <v>0.39782011331052192</v>
      </c>
    </row>
    <row r="322" spans="1:9">
      <c r="A322">
        <v>1</v>
      </c>
      <c r="B322">
        <v>2</v>
      </c>
      <c r="C322" t="s">
        <v>84</v>
      </c>
      <c r="D322" t="s">
        <v>114</v>
      </c>
      <c r="E322" t="s">
        <v>25</v>
      </c>
      <c r="F322" t="s">
        <v>116</v>
      </c>
      <c r="G322" t="s">
        <v>38</v>
      </c>
      <c r="H322">
        <v>2023</v>
      </c>
      <c r="I322">
        <v>0.52813184011589365</v>
      </c>
    </row>
    <row r="323" spans="1:9">
      <c r="A323">
        <v>1</v>
      </c>
      <c r="B323">
        <v>2</v>
      </c>
      <c r="C323" t="s">
        <v>84</v>
      </c>
      <c r="D323" t="s">
        <v>114</v>
      </c>
      <c r="E323" t="s">
        <v>25</v>
      </c>
      <c r="F323" t="s">
        <v>116</v>
      </c>
      <c r="G323" t="s">
        <v>38</v>
      </c>
      <c r="H323">
        <v>2024</v>
      </c>
      <c r="I323">
        <v>0.74434996576729284</v>
      </c>
    </row>
    <row r="324" spans="1:9">
      <c r="A324">
        <v>1</v>
      </c>
      <c r="B324">
        <v>2</v>
      </c>
      <c r="C324" t="s">
        <v>84</v>
      </c>
      <c r="D324" t="s">
        <v>114</v>
      </c>
      <c r="E324" t="s">
        <v>25</v>
      </c>
      <c r="F324" t="s">
        <v>116</v>
      </c>
      <c r="G324" t="s">
        <v>38</v>
      </c>
      <c r="H324">
        <v>2025</v>
      </c>
      <c r="I324">
        <v>0.51724502545420303</v>
      </c>
    </row>
    <row r="325" spans="1:9">
      <c r="A325">
        <v>1</v>
      </c>
      <c r="B325">
        <v>2</v>
      </c>
      <c r="C325" t="s">
        <v>84</v>
      </c>
      <c r="D325" t="s">
        <v>114</v>
      </c>
      <c r="E325" t="s">
        <v>25</v>
      </c>
      <c r="F325" t="s">
        <v>116</v>
      </c>
      <c r="G325" t="s">
        <v>38</v>
      </c>
      <c r="H325">
        <v>2026</v>
      </c>
      <c r="I325">
        <v>0.66065676562793652</v>
      </c>
    </row>
    <row r="326" spans="1:9">
      <c r="A326">
        <v>1</v>
      </c>
      <c r="B326">
        <v>2</v>
      </c>
      <c r="C326" t="s">
        <v>84</v>
      </c>
      <c r="D326" t="s">
        <v>114</v>
      </c>
      <c r="E326" t="s">
        <v>25</v>
      </c>
      <c r="F326" t="s">
        <v>116</v>
      </c>
      <c r="G326" t="s">
        <v>38</v>
      </c>
      <c r="H326">
        <v>2027</v>
      </c>
      <c r="I326">
        <v>0.50825744685275032</v>
      </c>
    </row>
    <row r="327" spans="1:9">
      <c r="A327">
        <v>1</v>
      </c>
      <c r="B327">
        <v>2</v>
      </c>
      <c r="C327" t="s">
        <v>84</v>
      </c>
      <c r="D327" t="s">
        <v>114</v>
      </c>
      <c r="E327" t="s">
        <v>25</v>
      </c>
      <c r="F327" t="s">
        <v>116</v>
      </c>
      <c r="G327" t="s">
        <v>38</v>
      </c>
      <c r="H327">
        <v>2028</v>
      </c>
      <c r="I327">
        <v>0.47429714472630646</v>
      </c>
    </row>
    <row r="328" spans="1:9">
      <c r="A328">
        <v>1</v>
      </c>
      <c r="B328">
        <v>2</v>
      </c>
      <c r="C328" t="s">
        <v>84</v>
      </c>
      <c r="D328" t="s">
        <v>114</v>
      </c>
      <c r="E328" t="s">
        <v>25</v>
      </c>
      <c r="F328" t="s">
        <v>116</v>
      </c>
      <c r="G328" t="s">
        <v>38</v>
      </c>
      <c r="H328">
        <v>2029</v>
      </c>
      <c r="I328">
        <v>0.76465516055581828</v>
      </c>
    </row>
    <row r="329" spans="1:9">
      <c r="A329">
        <v>1</v>
      </c>
      <c r="B329">
        <v>2</v>
      </c>
      <c r="C329" t="s">
        <v>84</v>
      </c>
      <c r="D329" t="s">
        <v>114</v>
      </c>
      <c r="E329" t="s">
        <v>25</v>
      </c>
      <c r="F329" t="s">
        <v>116</v>
      </c>
      <c r="G329" t="s">
        <v>38</v>
      </c>
      <c r="H329">
        <v>2030</v>
      </c>
      <c r="I329">
        <v>0.73064396560088896</v>
      </c>
    </row>
    <row r="330" spans="1:9">
      <c r="A330">
        <v>1</v>
      </c>
      <c r="B330">
        <v>2</v>
      </c>
      <c r="C330" t="s">
        <v>84</v>
      </c>
      <c r="D330" t="s">
        <v>114</v>
      </c>
      <c r="E330" t="s">
        <v>25</v>
      </c>
      <c r="F330" t="s">
        <v>116</v>
      </c>
      <c r="G330" t="s">
        <v>38</v>
      </c>
      <c r="H330">
        <v>2031</v>
      </c>
      <c r="I330">
        <v>0.85656601567887347</v>
      </c>
    </row>
    <row r="331" spans="1:9">
      <c r="A331">
        <v>1</v>
      </c>
      <c r="B331">
        <v>2</v>
      </c>
      <c r="C331" t="s">
        <v>84</v>
      </c>
      <c r="D331" t="s">
        <v>114</v>
      </c>
      <c r="E331" t="s">
        <v>25</v>
      </c>
      <c r="F331" t="s">
        <v>116</v>
      </c>
      <c r="G331" t="s">
        <v>38</v>
      </c>
      <c r="H331">
        <v>2032</v>
      </c>
      <c r="I331">
        <v>0.79466740805679348</v>
      </c>
    </row>
    <row r="332" spans="1:9">
      <c r="A332">
        <v>1</v>
      </c>
      <c r="B332">
        <v>2</v>
      </c>
      <c r="C332" t="s">
        <v>84</v>
      </c>
      <c r="D332" t="s">
        <v>114</v>
      </c>
      <c r="E332" t="s">
        <v>25</v>
      </c>
      <c r="F332" t="s">
        <v>117</v>
      </c>
      <c r="G332" t="s">
        <v>37</v>
      </c>
      <c r="H332">
        <v>2018</v>
      </c>
      <c r="I332">
        <v>2.2399001559607918</v>
      </c>
    </row>
    <row r="333" spans="1:9">
      <c r="A333">
        <v>1</v>
      </c>
      <c r="B333">
        <v>2</v>
      </c>
      <c r="C333" t="s">
        <v>84</v>
      </c>
      <c r="D333" t="s">
        <v>114</v>
      </c>
      <c r="E333" t="s">
        <v>25</v>
      </c>
      <c r="F333" t="s">
        <v>117</v>
      </c>
      <c r="G333" t="s">
        <v>37</v>
      </c>
      <c r="H333">
        <v>2019</v>
      </c>
      <c r="I333">
        <v>1.3017024265092456</v>
      </c>
    </row>
    <row r="334" spans="1:9">
      <c r="A334">
        <v>1</v>
      </c>
      <c r="B334">
        <v>2</v>
      </c>
      <c r="C334" t="s">
        <v>84</v>
      </c>
      <c r="D334" t="s">
        <v>114</v>
      </c>
      <c r="E334" t="s">
        <v>25</v>
      </c>
      <c r="F334" t="s">
        <v>117</v>
      </c>
      <c r="G334" t="s">
        <v>37</v>
      </c>
      <c r="H334">
        <v>2020</v>
      </c>
      <c r="I334">
        <v>2.4278991895238207</v>
      </c>
    </row>
    <row r="335" spans="1:9">
      <c r="A335">
        <v>1</v>
      </c>
      <c r="B335">
        <v>2</v>
      </c>
      <c r="C335" t="s">
        <v>84</v>
      </c>
      <c r="D335" t="s">
        <v>114</v>
      </c>
      <c r="E335" t="s">
        <v>25</v>
      </c>
      <c r="F335" t="s">
        <v>117</v>
      </c>
      <c r="G335" t="s">
        <v>37</v>
      </c>
      <c r="H335">
        <v>2021</v>
      </c>
      <c r="I335">
        <v>2.1811561320427644</v>
      </c>
    </row>
    <row r="336" spans="1:9">
      <c r="A336">
        <v>1</v>
      </c>
      <c r="B336">
        <v>2</v>
      </c>
      <c r="C336" t="s">
        <v>84</v>
      </c>
      <c r="D336" t="s">
        <v>114</v>
      </c>
      <c r="E336" t="s">
        <v>25</v>
      </c>
      <c r="F336" t="s">
        <v>117</v>
      </c>
      <c r="G336" t="s">
        <v>37</v>
      </c>
      <c r="H336">
        <v>2022</v>
      </c>
      <c r="I336">
        <v>1.4709014502723241</v>
      </c>
    </row>
    <row r="337" spans="1:9">
      <c r="A337">
        <v>1</v>
      </c>
      <c r="B337">
        <v>2</v>
      </c>
      <c r="C337" t="s">
        <v>84</v>
      </c>
      <c r="D337" t="s">
        <v>114</v>
      </c>
      <c r="E337" t="s">
        <v>25</v>
      </c>
      <c r="F337" t="s">
        <v>117</v>
      </c>
      <c r="G337" t="s">
        <v>37</v>
      </c>
      <c r="H337">
        <v>2023</v>
      </c>
      <c r="I337">
        <v>1.6046809570267579</v>
      </c>
    </row>
    <row r="338" spans="1:9">
      <c r="A338">
        <v>1</v>
      </c>
      <c r="B338">
        <v>2</v>
      </c>
      <c r="C338" t="s">
        <v>84</v>
      </c>
      <c r="D338" t="s">
        <v>114</v>
      </c>
      <c r="E338" t="s">
        <v>25</v>
      </c>
      <c r="F338" t="s">
        <v>117</v>
      </c>
      <c r="G338" t="s">
        <v>37</v>
      </c>
      <c r="H338">
        <v>2024</v>
      </c>
      <c r="I338">
        <v>2.5494491011683107</v>
      </c>
    </row>
    <row r="339" spans="1:9">
      <c r="A339">
        <v>1</v>
      </c>
      <c r="B339">
        <v>2</v>
      </c>
      <c r="C339" t="s">
        <v>84</v>
      </c>
      <c r="D339" t="s">
        <v>114</v>
      </c>
      <c r="E339" t="s">
        <v>25</v>
      </c>
      <c r="F339" t="s">
        <v>117</v>
      </c>
      <c r="G339" t="s">
        <v>37</v>
      </c>
      <c r="H339">
        <v>2025</v>
      </c>
      <c r="I339">
        <v>1.7855353148384019</v>
      </c>
    </row>
    <row r="340" spans="1:9">
      <c r="A340">
        <v>1</v>
      </c>
      <c r="B340">
        <v>2</v>
      </c>
      <c r="C340" t="s">
        <v>84</v>
      </c>
      <c r="D340" t="s">
        <v>114</v>
      </c>
      <c r="E340" t="s">
        <v>25</v>
      </c>
      <c r="F340" t="s">
        <v>117</v>
      </c>
      <c r="G340" t="s">
        <v>37</v>
      </c>
      <c r="H340">
        <v>2026</v>
      </c>
      <c r="I340">
        <v>1.7161198113059173</v>
      </c>
    </row>
    <row r="341" spans="1:9">
      <c r="A341">
        <v>1</v>
      </c>
      <c r="B341">
        <v>2</v>
      </c>
      <c r="C341" t="s">
        <v>84</v>
      </c>
      <c r="D341" t="s">
        <v>114</v>
      </c>
      <c r="E341" t="s">
        <v>25</v>
      </c>
      <c r="F341" t="s">
        <v>117</v>
      </c>
      <c r="G341" t="s">
        <v>37</v>
      </c>
      <c r="H341">
        <v>2027</v>
      </c>
      <c r="I341">
        <v>3.088774772479816</v>
      </c>
    </row>
    <row r="342" spans="1:9">
      <c r="A342">
        <v>1</v>
      </c>
      <c r="B342">
        <v>2</v>
      </c>
      <c r="C342" t="s">
        <v>84</v>
      </c>
      <c r="D342" t="s">
        <v>114</v>
      </c>
      <c r="E342" t="s">
        <v>25</v>
      </c>
      <c r="F342" t="s">
        <v>117</v>
      </c>
      <c r="G342" t="s">
        <v>37</v>
      </c>
      <c r="H342">
        <v>2028</v>
      </c>
      <c r="I342">
        <v>2.0068329709095822</v>
      </c>
    </row>
    <row r="343" spans="1:9">
      <c r="A343">
        <v>1</v>
      </c>
      <c r="B343">
        <v>2</v>
      </c>
      <c r="C343" t="s">
        <v>84</v>
      </c>
      <c r="D343" t="s">
        <v>114</v>
      </c>
      <c r="E343" t="s">
        <v>25</v>
      </c>
      <c r="F343" t="s">
        <v>117</v>
      </c>
      <c r="G343" t="s">
        <v>37</v>
      </c>
      <c r="H343">
        <v>2029</v>
      </c>
      <c r="I343">
        <v>3.307211852864123</v>
      </c>
    </row>
    <row r="344" spans="1:9">
      <c r="A344">
        <v>1</v>
      </c>
      <c r="B344">
        <v>2</v>
      </c>
      <c r="C344" t="s">
        <v>84</v>
      </c>
      <c r="D344" t="s">
        <v>114</v>
      </c>
      <c r="E344" t="s">
        <v>25</v>
      </c>
      <c r="F344" t="s">
        <v>117</v>
      </c>
      <c r="G344" t="s">
        <v>37</v>
      </c>
      <c r="H344">
        <v>2030</v>
      </c>
      <c r="I344">
        <v>2.1539150780880627</v>
      </c>
    </row>
    <row r="345" spans="1:9">
      <c r="A345">
        <v>1</v>
      </c>
      <c r="B345">
        <v>2</v>
      </c>
      <c r="C345" t="s">
        <v>84</v>
      </c>
      <c r="D345" t="s">
        <v>114</v>
      </c>
      <c r="E345" t="s">
        <v>25</v>
      </c>
      <c r="F345" t="s">
        <v>117</v>
      </c>
      <c r="G345" t="s">
        <v>37</v>
      </c>
      <c r="H345">
        <v>2031</v>
      </c>
      <c r="I345">
        <v>2.093703456044393</v>
      </c>
    </row>
    <row r="346" spans="1:9">
      <c r="A346">
        <v>1</v>
      </c>
      <c r="B346">
        <v>2</v>
      </c>
      <c r="C346" t="s">
        <v>84</v>
      </c>
      <c r="D346" t="s">
        <v>114</v>
      </c>
      <c r="E346" t="s">
        <v>25</v>
      </c>
      <c r="F346" t="s">
        <v>117</v>
      </c>
      <c r="G346" t="s">
        <v>37</v>
      </c>
      <c r="H346">
        <v>2032</v>
      </c>
      <c r="I346">
        <v>2.5550248837249812</v>
      </c>
    </row>
    <row r="347" spans="1:9">
      <c r="A347">
        <v>1</v>
      </c>
      <c r="B347">
        <v>2</v>
      </c>
      <c r="C347" t="s">
        <v>84</v>
      </c>
      <c r="D347" t="s">
        <v>114</v>
      </c>
      <c r="E347" t="s">
        <v>25</v>
      </c>
      <c r="F347" t="s">
        <v>117</v>
      </c>
      <c r="G347" t="s">
        <v>38</v>
      </c>
      <c r="H347">
        <v>2018</v>
      </c>
      <c r="I347">
        <v>0.67556748858200044</v>
      </c>
    </row>
    <row r="348" spans="1:9">
      <c r="A348">
        <v>1</v>
      </c>
      <c r="B348">
        <v>2</v>
      </c>
      <c r="C348" t="s">
        <v>84</v>
      </c>
      <c r="D348" t="s">
        <v>114</v>
      </c>
      <c r="E348" t="s">
        <v>25</v>
      </c>
      <c r="F348" t="s">
        <v>117</v>
      </c>
      <c r="G348" t="s">
        <v>38</v>
      </c>
      <c r="H348">
        <v>2019</v>
      </c>
      <c r="I348">
        <v>0.79531599703736122</v>
      </c>
    </row>
    <row r="349" spans="1:9">
      <c r="A349">
        <v>1</v>
      </c>
      <c r="B349">
        <v>2</v>
      </c>
      <c r="C349" t="s">
        <v>84</v>
      </c>
      <c r="D349" t="s">
        <v>114</v>
      </c>
      <c r="E349" t="s">
        <v>25</v>
      </c>
      <c r="F349" t="s">
        <v>117</v>
      </c>
      <c r="G349" t="s">
        <v>38</v>
      </c>
      <c r="H349">
        <v>2020</v>
      </c>
      <c r="I349">
        <v>0.88193896314160969</v>
      </c>
    </row>
    <row r="350" spans="1:9">
      <c r="A350">
        <v>1</v>
      </c>
      <c r="B350">
        <v>2</v>
      </c>
      <c r="C350" t="s">
        <v>84</v>
      </c>
      <c r="D350" t="s">
        <v>114</v>
      </c>
      <c r="E350" t="s">
        <v>25</v>
      </c>
      <c r="F350" t="s">
        <v>117</v>
      </c>
      <c r="G350" t="s">
        <v>38</v>
      </c>
      <c r="H350">
        <v>2021</v>
      </c>
      <c r="I350">
        <v>0.84543762009906109</v>
      </c>
    </row>
    <row r="351" spans="1:9">
      <c r="A351">
        <v>1</v>
      </c>
      <c r="B351">
        <v>2</v>
      </c>
      <c r="C351" t="s">
        <v>84</v>
      </c>
      <c r="D351" t="s">
        <v>114</v>
      </c>
      <c r="E351" t="s">
        <v>25</v>
      </c>
      <c r="F351" t="s">
        <v>117</v>
      </c>
      <c r="G351" t="s">
        <v>38</v>
      </c>
      <c r="H351">
        <v>2022</v>
      </c>
      <c r="I351">
        <v>1.2478369195151682</v>
      </c>
    </row>
    <row r="352" spans="1:9">
      <c r="A352">
        <v>1</v>
      </c>
      <c r="B352">
        <v>2</v>
      </c>
      <c r="C352" t="s">
        <v>84</v>
      </c>
      <c r="D352" t="s">
        <v>114</v>
      </c>
      <c r="E352" t="s">
        <v>25</v>
      </c>
      <c r="F352" t="s">
        <v>117</v>
      </c>
      <c r="G352" t="s">
        <v>38</v>
      </c>
      <c r="H352">
        <v>2023</v>
      </c>
      <c r="I352">
        <v>1.2555188817764011</v>
      </c>
    </row>
    <row r="353" spans="1:9">
      <c r="A353">
        <v>1</v>
      </c>
      <c r="B353">
        <v>2</v>
      </c>
      <c r="C353" t="s">
        <v>84</v>
      </c>
      <c r="D353" t="s">
        <v>114</v>
      </c>
      <c r="E353" t="s">
        <v>25</v>
      </c>
      <c r="F353" t="s">
        <v>117</v>
      </c>
      <c r="G353" t="s">
        <v>38</v>
      </c>
      <c r="H353">
        <v>2024</v>
      </c>
      <c r="I353">
        <v>1.0266623901004268</v>
      </c>
    </row>
    <row r="354" spans="1:9">
      <c r="A354">
        <v>1</v>
      </c>
      <c r="B354">
        <v>2</v>
      </c>
      <c r="C354" t="s">
        <v>84</v>
      </c>
      <c r="D354" t="s">
        <v>114</v>
      </c>
      <c r="E354" t="s">
        <v>25</v>
      </c>
      <c r="F354" t="s">
        <v>117</v>
      </c>
      <c r="G354" t="s">
        <v>38</v>
      </c>
      <c r="H354">
        <v>2025</v>
      </c>
      <c r="I354">
        <v>0.91067565580047627</v>
      </c>
    </row>
    <row r="355" spans="1:9">
      <c r="A355">
        <v>1</v>
      </c>
      <c r="B355">
        <v>2</v>
      </c>
      <c r="C355" t="s">
        <v>84</v>
      </c>
      <c r="D355" t="s">
        <v>114</v>
      </c>
      <c r="E355" t="s">
        <v>25</v>
      </c>
      <c r="F355" t="s">
        <v>117</v>
      </c>
      <c r="G355" t="s">
        <v>38</v>
      </c>
      <c r="H355">
        <v>2026</v>
      </c>
      <c r="I355">
        <v>1.1461271941300406</v>
      </c>
    </row>
    <row r="356" spans="1:9">
      <c r="A356">
        <v>1</v>
      </c>
      <c r="B356">
        <v>2</v>
      </c>
      <c r="C356" t="s">
        <v>84</v>
      </c>
      <c r="D356" t="s">
        <v>114</v>
      </c>
      <c r="E356" t="s">
        <v>25</v>
      </c>
      <c r="F356" t="s">
        <v>117</v>
      </c>
      <c r="G356" t="s">
        <v>38</v>
      </c>
      <c r="H356">
        <v>2027</v>
      </c>
      <c r="I356">
        <v>0.97060723972946239</v>
      </c>
    </row>
    <row r="357" spans="1:9">
      <c r="A357">
        <v>1</v>
      </c>
      <c r="B357">
        <v>2</v>
      </c>
      <c r="C357" t="s">
        <v>84</v>
      </c>
      <c r="D357" t="s">
        <v>114</v>
      </c>
      <c r="E357" t="s">
        <v>25</v>
      </c>
      <c r="F357" t="s">
        <v>117</v>
      </c>
      <c r="G357" t="s">
        <v>38</v>
      </c>
      <c r="H357">
        <v>2028</v>
      </c>
      <c r="I357">
        <v>1.4026719089589985</v>
      </c>
    </row>
    <row r="358" spans="1:9">
      <c r="A358">
        <v>1</v>
      </c>
      <c r="B358">
        <v>2</v>
      </c>
      <c r="C358" t="s">
        <v>84</v>
      </c>
      <c r="D358" t="s">
        <v>114</v>
      </c>
      <c r="E358" t="s">
        <v>25</v>
      </c>
      <c r="F358" t="s">
        <v>117</v>
      </c>
      <c r="G358" t="s">
        <v>38</v>
      </c>
      <c r="H358">
        <v>2029</v>
      </c>
      <c r="I358">
        <v>1.6008297894150447</v>
      </c>
    </row>
    <row r="359" spans="1:9">
      <c r="A359">
        <v>1</v>
      </c>
      <c r="B359">
        <v>2</v>
      </c>
      <c r="C359" t="s">
        <v>84</v>
      </c>
      <c r="D359" t="s">
        <v>114</v>
      </c>
      <c r="E359" t="s">
        <v>25</v>
      </c>
      <c r="F359" t="s">
        <v>117</v>
      </c>
      <c r="G359" t="s">
        <v>38</v>
      </c>
      <c r="H359">
        <v>2030</v>
      </c>
      <c r="I359">
        <v>1.0612060659999347</v>
      </c>
    </row>
    <row r="360" spans="1:9">
      <c r="A360">
        <v>1</v>
      </c>
      <c r="B360">
        <v>2</v>
      </c>
      <c r="C360" t="s">
        <v>84</v>
      </c>
      <c r="D360" t="s">
        <v>114</v>
      </c>
      <c r="E360" t="s">
        <v>25</v>
      </c>
      <c r="F360" t="s">
        <v>117</v>
      </c>
      <c r="G360" t="s">
        <v>38</v>
      </c>
      <c r="H360">
        <v>2031</v>
      </c>
      <c r="I360">
        <v>1.774155870701327</v>
      </c>
    </row>
    <row r="361" spans="1:9">
      <c r="A361">
        <v>1</v>
      </c>
      <c r="B361">
        <v>2</v>
      </c>
      <c r="C361" t="s">
        <v>84</v>
      </c>
      <c r="D361" t="s">
        <v>114</v>
      </c>
      <c r="E361" t="s">
        <v>25</v>
      </c>
      <c r="F361" t="s">
        <v>117</v>
      </c>
      <c r="G361" t="s">
        <v>38</v>
      </c>
      <c r="H361">
        <v>2032</v>
      </c>
      <c r="I361">
        <v>1.2513503949895222</v>
      </c>
    </row>
    <row r="362" spans="1:9">
      <c r="A362">
        <v>1</v>
      </c>
      <c r="B362">
        <v>3</v>
      </c>
      <c r="C362" t="s">
        <v>85</v>
      </c>
      <c r="D362" t="s">
        <v>113</v>
      </c>
      <c r="E362" t="s">
        <v>20</v>
      </c>
      <c r="F362" t="s">
        <v>30</v>
      </c>
      <c r="G362" t="s">
        <v>37</v>
      </c>
      <c r="H362">
        <v>2018</v>
      </c>
      <c r="I362">
        <v>1.8977656580920015</v>
      </c>
    </row>
    <row r="363" spans="1:9">
      <c r="A363">
        <v>1</v>
      </c>
      <c r="B363">
        <v>3</v>
      </c>
      <c r="C363" t="s">
        <v>85</v>
      </c>
      <c r="D363" t="s">
        <v>113</v>
      </c>
      <c r="E363" t="s">
        <v>20</v>
      </c>
      <c r="F363" t="s">
        <v>30</v>
      </c>
      <c r="G363" t="s">
        <v>37</v>
      </c>
      <c r="H363">
        <v>2019</v>
      </c>
      <c r="I363">
        <v>1.5551299011422723</v>
      </c>
    </row>
    <row r="364" spans="1:9">
      <c r="A364">
        <v>1</v>
      </c>
      <c r="B364">
        <v>3</v>
      </c>
      <c r="C364" t="s">
        <v>85</v>
      </c>
      <c r="D364" t="s">
        <v>113</v>
      </c>
      <c r="E364" t="s">
        <v>20</v>
      </c>
      <c r="F364" t="s">
        <v>30</v>
      </c>
      <c r="G364" t="s">
        <v>37</v>
      </c>
      <c r="H364">
        <v>2020</v>
      </c>
      <c r="I364">
        <v>2.2614656900976065</v>
      </c>
    </row>
    <row r="365" spans="1:9">
      <c r="A365">
        <v>1</v>
      </c>
      <c r="B365">
        <v>3</v>
      </c>
      <c r="C365" t="s">
        <v>85</v>
      </c>
      <c r="D365" t="s">
        <v>113</v>
      </c>
      <c r="E365" t="s">
        <v>20</v>
      </c>
      <c r="F365" t="s">
        <v>30</v>
      </c>
      <c r="G365" t="s">
        <v>37</v>
      </c>
      <c r="H365">
        <v>2021</v>
      </c>
      <c r="I365">
        <v>2.4507106548567439</v>
      </c>
    </row>
    <row r="366" spans="1:9">
      <c r="A366">
        <v>1</v>
      </c>
      <c r="B366">
        <v>3</v>
      </c>
      <c r="C366" t="s">
        <v>85</v>
      </c>
      <c r="D366" t="s">
        <v>113</v>
      </c>
      <c r="E366" t="s">
        <v>20</v>
      </c>
      <c r="F366" t="s">
        <v>30</v>
      </c>
      <c r="G366" t="s">
        <v>37</v>
      </c>
      <c r="H366">
        <v>2022</v>
      </c>
      <c r="I366">
        <v>2.243612713268746</v>
      </c>
    </row>
    <row r="367" spans="1:9">
      <c r="A367">
        <v>1</v>
      </c>
      <c r="B367">
        <v>3</v>
      </c>
      <c r="C367" t="s">
        <v>85</v>
      </c>
      <c r="D367" t="s">
        <v>113</v>
      </c>
      <c r="E367" t="s">
        <v>20</v>
      </c>
      <c r="F367" t="s">
        <v>30</v>
      </c>
      <c r="G367" t="s">
        <v>37</v>
      </c>
      <c r="H367">
        <v>2023</v>
      </c>
      <c r="I367">
        <v>1.7516324717912617</v>
      </c>
    </row>
    <row r="368" spans="1:9">
      <c r="A368">
        <v>1</v>
      </c>
      <c r="B368">
        <v>3</v>
      </c>
      <c r="C368" t="s">
        <v>85</v>
      </c>
      <c r="D368" t="s">
        <v>113</v>
      </c>
      <c r="E368" t="s">
        <v>20</v>
      </c>
      <c r="F368" t="s">
        <v>30</v>
      </c>
      <c r="G368" t="s">
        <v>37</v>
      </c>
      <c r="H368">
        <v>2024</v>
      </c>
      <c r="I368">
        <v>2.1484120916685061</v>
      </c>
    </row>
    <row r="369" spans="1:9">
      <c r="A369">
        <v>1</v>
      </c>
      <c r="B369">
        <v>3</v>
      </c>
      <c r="C369" t="s">
        <v>85</v>
      </c>
      <c r="D369" t="s">
        <v>113</v>
      </c>
      <c r="E369" t="s">
        <v>20</v>
      </c>
      <c r="F369" t="s">
        <v>30</v>
      </c>
      <c r="G369" t="s">
        <v>37</v>
      </c>
      <c r="H369">
        <v>2025</v>
      </c>
      <c r="I369">
        <v>2.2950087734991556</v>
      </c>
    </row>
    <row r="370" spans="1:9">
      <c r="A370">
        <v>1</v>
      </c>
      <c r="B370">
        <v>3</v>
      </c>
      <c r="C370" t="s">
        <v>85</v>
      </c>
      <c r="D370" t="s">
        <v>113</v>
      </c>
      <c r="E370" t="s">
        <v>20</v>
      </c>
      <c r="F370" t="s">
        <v>30</v>
      </c>
      <c r="G370" t="s">
        <v>37</v>
      </c>
      <c r="H370">
        <v>2026</v>
      </c>
      <c r="I370">
        <v>2.8625891105639498</v>
      </c>
    </row>
    <row r="371" spans="1:9">
      <c r="A371">
        <v>1</v>
      </c>
      <c r="B371">
        <v>3</v>
      </c>
      <c r="C371" t="s">
        <v>85</v>
      </c>
      <c r="D371" t="s">
        <v>113</v>
      </c>
      <c r="E371" t="s">
        <v>20</v>
      </c>
      <c r="F371" t="s">
        <v>30</v>
      </c>
      <c r="G371" t="s">
        <v>37</v>
      </c>
      <c r="H371">
        <v>2027</v>
      </c>
      <c r="I371">
        <v>2.6918141930831325</v>
      </c>
    </row>
    <row r="372" spans="1:9">
      <c r="A372">
        <v>1</v>
      </c>
      <c r="B372">
        <v>3</v>
      </c>
      <c r="C372" t="s">
        <v>85</v>
      </c>
      <c r="D372" t="s">
        <v>113</v>
      </c>
      <c r="E372" t="s">
        <v>20</v>
      </c>
      <c r="F372" t="s">
        <v>30</v>
      </c>
      <c r="G372" t="s">
        <v>37</v>
      </c>
      <c r="H372">
        <v>2028</v>
      </c>
      <c r="I372">
        <v>3.0162367196351454</v>
      </c>
    </row>
    <row r="373" spans="1:9">
      <c r="A373">
        <v>1</v>
      </c>
      <c r="B373">
        <v>3</v>
      </c>
      <c r="C373" t="s">
        <v>85</v>
      </c>
      <c r="D373" t="s">
        <v>113</v>
      </c>
      <c r="E373" t="s">
        <v>20</v>
      </c>
      <c r="F373" t="s">
        <v>30</v>
      </c>
      <c r="G373" t="s">
        <v>37</v>
      </c>
      <c r="H373">
        <v>2029</v>
      </c>
      <c r="I373">
        <v>3.0536750442087905</v>
      </c>
    </row>
    <row r="374" spans="1:9">
      <c r="A374">
        <v>1</v>
      </c>
      <c r="B374">
        <v>3</v>
      </c>
      <c r="C374" t="s">
        <v>85</v>
      </c>
      <c r="D374" t="s">
        <v>113</v>
      </c>
      <c r="E374" t="s">
        <v>20</v>
      </c>
      <c r="F374" t="s">
        <v>30</v>
      </c>
      <c r="G374" t="s">
        <v>37</v>
      </c>
      <c r="H374">
        <v>2030</v>
      </c>
      <c r="I374">
        <v>2.7356298691082985</v>
      </c>
    </row>
    <row r="375" spans="1:9">
      <c r="A375">
        <v>1</v>
      </c>
      <c r="B375">
        <v>3</v>
      </c>
      <c r="C375" t="s">
        <v>85</v>
      </c>
      <c r="D375" t="s">
        <v>113</v>
      </c>
      <c r="E375" t="s">
        <v>20</v>
      </c>
      <c r="F375" t="s">
        <v>30</v>
      </c>
      <c r="G375" t="s">
        <v>37</v>
      </c>
      <c r="H375">
        <v>2031</v>
      </c>
      <c r="I375">
        <v>3.5114820082833789</v>
      </c>
    </row>
    <row r="376" spans="1:9">
      <c r="A376">
        <v>1</v>
      </c>
      <c r="B376">
        <v>3</v>
      </c>
      <c r="C376" t="s">
        <v>85</v>
      </c>
      <c r="D376" t="s">
        <v>113</v>
      </c>
      <c r="E376" t="s">
        <v>20</v>
      </c>
      <c r="F376" t="s">
        <v>30</v>
      </c>
      <c r="G376" t="s">
        <v>37</v>
      </c>
      <c r="H376">
        <v>2032</v>
      </c>
      <c r="I376">
        <v>2.4197751347009939</v>
      </c>
    </row>
    <row r="377" spans="1:9">
      <c r="A377">
        <v>1</v>
      </c>
      <c r="B377">
        <v>3</v>
      </c>
      <c r="C377" t="s">
        <v>85</v>
      </c>
      <c r="D377" t="s">
        <v>113</v>
      </c>
      <c r="E377" t="s">
        <v>20</v>
      </c>
      <c r="F377" t="s">
        <v>30</v>
      </c>
      <c r="G377" t="s">
        <v>38</v>
      </c>
      <c r="H377">
        <v>2018</v>
      </c>
      <c r="I377">
        <v>0.83367076472324575</v>
      </c>
    </row>
    <row r="378" spans="1:9">
      <c r="A378">
        <v>1</v>
      </c>
      <c r="B378">
        <v>3</v>
      </c>
      <c r="C378" t="s">
        <v>85</v>
      </c>
      <c r="D378" t="s">
        <v>113</v>
      </c>
      <c r="E378" t="s">
        <v>20</v>
      </c>
      <c r="F378" t="s">
        <v>30</v>
      </c>
      <c r="G378" t="s">
        <v>38</v>
      </c>
      <c r="H378">
        <v>2019</v>
      </c>
      <c r="I378">
        <v>0.644763445328008</v>
      </c>
    </row>
    <row r="379" spans="1:9">
      <c r="A379">
        <v>1</v>
      </c>
      <c r="B379">
        <v>3</v>
      </c>
      <c r="C379" t="s">
        <v>85</v>
      </c>
      <c r="D379" t="s">
        <v>113</v>
      </c>
      <c r="E379" t="s">
        <v>20</v>
      </c>
      <c r="F379" t="s">
        <v>30</v>
      </c>
      <c r="G379" t="s">
        <v>38</v>
      </c>
      <c r="H379">
        <v>2020</v>
      </c>
      <c r="I379">
        <v>0.83327146092683468</v>
      </c>
    </row>
    <row r="380" spans="1:9">
      <c r="A380">
        <v>1</v>
      </c>
      <c r="B380">
        <v>3</v>
      </c>
      <c r="C380" t="s">
        <v>85</v>
      </c>
      <c r="D380" t="s">
        <v>113</v>
      </c>
      <c r="E380" t="s">
        <v>20</v>
      </c>
      <c r="F380" t="s">
        <v>30</v>
      </c>
      <c r="G380" t="s">
        <v>38</v>
      </c>
      <c r="H380">
        <v>2021</v>
      </c>
      <c r="I380">
        <v>0.80552954467403837</v>
      </c>
    </row>
    <row r="381" spans="1:9">
      <c r="A381">
        <v>1</v>
      </c>
      <c r="B381">
        <v>3</v>
      </c>
      <c r="C381" t="s">
        <v>85</v>
      </c>
      <c r="D381" t="s">
        <v>113</v>
      </c>
      <c r="E381" t="s">
        <v>20</v>
      </c>
      <c r="F381" t="s">
        <v>30</v>
      </c>
      <c r="G381" t="s">
        <v>38</v>
      </c>
      <c r="H381">
        <v>2022</v>
      </c>
      <c r="I381">
        <v>1.1711710880151169</v>
      </c>
    </row>
    <row r="382" spans="1:9">
      <c r="A382">
        <v>1</v>
      </c>
      <c r="B382">
        <v>3</v>
      </c>
      <c r="C382" t="s">
        <v>85</v>
      </c>
      <c r="D382" t="s">
        <v>113</v>
      </c>
      <c r="E382" t="s">
        <v>20</v>
      </c>
      <c r="F382" t="s">
        <v>30</v>
      </c>
      <c r="G382" t="s">
        <v>38</v>
      </c>
      <c r="H382">
        <v>2023</v>
      </c>
      <c r="I382">
        <v>1.1008363976970901</v>
      </c>
    </row>
    <row r="383" spans="1:9">
      <c r="A383">
        <v>1</v>
      </c>
      <c r="B383">
        <v>3</v>
      </c>
      <c r="C383" t="s">
        <v>85</v>
      </c>
      <c r="D383" t="s">
        <v>113</v>
      </c>
      <c r="E383" t="s">
        <v>20</v>
      </c>
      <c r="F383" t="s">
        <v>30</v>
      </c>
      <c r="G383" t="s">
        <v>38</v>
      </c>
      <c r="H383">
        <v>2024</v>
      </c>
      <c r="I383">
        <v>1.5802561380641655</v>
      </c>
    </row>
    <row r="384" spans="1:9">
      <c r="A384">
        <v>1</v>
      </c>
      <c r="B384">
        <v>3</v>
      </c>
      <c r="C384" t="s">
        <v>85</v>
      </c>
      <c r="D384" t="s">
        <v>113</v>
      </c>
      <c r="E384" t="s">
        <v>20</v>
      </c>
      <c r="F384" t="s">
        <v>30</v>
      </c>
      <c r="G384" t="s">
        <v>38</v>
      </c>
      <c r="H384">
        <v>2025</v>
      </c>
      <c r="I384">
        <v>1.4903953809795065</v>
      </c>
    </row>
    <row r="385" spans="1:9">
      <c r="A385">
        <v>1</v>
      </c>
      <c r="B385">
        <v>3</v>
      </c>
      <c r="C385" t="s">
        <v>85</v>
      </c>
      <c r="D385" t="s">
        <v>113</v>
      </c>
      <c r="E385" t="s">
        <v>20</v>
      </c>
      <c r="F385" t="s">
        <v>30</v>
      </c>
      <c r="G385" t="s">
        <v>38</v>
      </c>
      <c r="H385">
        <v>2026</v>
      </c>
      <c r="I385">
        <v>1.5174843827612798</v>
      </c>
    </row>
    <row r="386" spans="1:9">
      <c r="A386">
        <v>1</v>
      </c>
      <c r="B386">
        <v>3</v>
      </c>
      <c r="C386" t="s">
        <v>85</v>
      </c>
      <c r="D386" t="s">
        <v>113</v>
      </c>
      <c r="E386" t="s">
        <v>20</v>
      </c>
      <c r="F386" t="s">
        <v>30</v>
      </c>
      <c r="G386" t="s">
        <v>38</v>
      </c>
      <c r="H386">
        <v>2027</v>
      </c>
      <c r="I386">
        <v>1.2215737573465097</v>
      </c>
    </row>
    <row r="387" spans="1:9">
      <c r="A387">
        <v>1</v>
      </c>
      <c r="B387">
        <v>3</v>
      </c>
      <c r="C387" t="s">
        <v>85</v>
      </c>
      <c r="D387" t="s">
        <v>113</v>
      </c>
      <c r="E387" t="s">
        <v>20</v>
      </c>
      <c r="F387" t="s">
        <v>30</v>
      </c>
      <c r="G387" t="s">
        <v>38</v>
      </c>
      <c r="H387">
        <v>2028</v>
      </c>
      <c r="I387">
        <v>1.0015680223257064</v>
      </c>
    </row>
    <row r="388" spans="1:9">
      <c r="A388">
        <v>1</v>
      </c>
      <c r="B388">
        <v>3</v>
      </c>
      <c r="C388" t="s">
        <v>85</v>
      </c>
      <c r="D388" t="s">
        <v>113</v>
      </c>
      <c r="E388" t="s">
        <v>20</v>
      </c>
      <c r="F388" t="s">
        <v>30</v>
      </c>
      <c r="G388" t="s">
        <v>38</v>
      </c>
      <c r="H388">
        <v>2029</v>
      </c>
      <c r="I388">
        <v>1.7854569020920583</v>
      </c>
    </row>
    <row r="389" spans="1:9">
      <c r="A389">
        <v>1</v>
      </c>
      <c r="B389">
        <v>3</v>
      </c>
      <c r="C389" t="s">
        <v>85</v>
      </c>
      <c r="D389" t="s">
        <v>113</v>
      </c>
      <c r="E389" t="s">
        <v>20</v>
      </c>
      <c r="F389" t="s">
        <v>30</v>
      </c>
      <c r="G389" t="s">
        <v>38</v>
      </c>
      <c r="H389">
        <v>2030</v>
      </c>
      <c r="I389">
        <v>1.8374826978993157</v>
      </c>
    </row>
    <row r="390" spans="1:9">
      <c r="A390">
        <v>1</v>
      </c>
      <c r="B390">
        <v>3</v>
      </c>
      <c r="C390" t="s">
        <v>85</v>
      </c>
      <c r="D390" t="s">
        <v>113</v>
      </c>
      <c r="E390" t="s">
        <v>20</v>
      </c>
      <c r="F390" t="s">
        <v>30</v>
      </c>
      <c r="G390" t="s">
        <v>38</v>
      </c>
      <c r="H390">
        <v>2031</v>
      </c>
      <c r="I390">
        <v>1.0917284143164359</v>
      </c>
    </row>
    <row r="391" spans="1:9">
      <c r="A391">
        <v>1</v>
      </c>
      <c r="B391">
        <v>3</v>
      </c>
      <c r="C391" t="s">
        <v>85</v>
      </c>
      <c r="D391" t="s">
        <v>113</v>
      </c>
      <c r="E391" t="s">
        <v>20</v>
      </c>
      <c r="F391" t="s">
        <v>30</v>
      </c>
      <c r="G391" t="s">
        <v>38</v>
      </c>
      <c r="H391">
        <v>2032</v>
      </c>
      <c r="I391">
        <v>1.2663380179198289</v>
      </c>
    </row>
    <row r="392" spans="1:9">
      <c r="A392">
        <v>1</v>
      </c>
      <c r="B392">
        <v>3</v>
      </c>
      <c r="C392" t="s">
        <v>85</v>
      </c>
      <c r="D392" t="s">
        <v>113</v>
      </c>
      <c r="E392" t="s">
        <v>20</v>
      </c>
      <c r="F392" t="s">
        <v>31</v>
      </c>
      <c r="G392" t="s">
        <v>37</v>
      </c>
      <c r="H392">
        <v>2018</v>
      </c>
      <c r="I392">
        <v>0.8914219690892905</v>
      </c>
    </row>
    <row r="393" spans="1:9">
      <c r="A393">
        <v>1</v>
      </c>
      <c r="B393">
        <v>3</v>
      </c>
      <c r="C393" t="s">
        <v>85</v>
      </c>
      <c r="D393" t="s">
        <v>113</v>
      </c>
      <c r="E393" t="s">
        <v>20</v>
      </c>
      <c r="F393" t="s">
        <v>31</v>
      </c>
      <c r="G393" t="s">
        <v>37</v>
      </c>
      <c r="H393">
        <v>2019</v>
      </c>
      <c r="I393">
        <v>0.98421396151507534</v>
      </c>
    </row>
    <row r="394" spans="1:9">
      <c r="A394">
        <v>1</v>
      </c>
      <c r="B394">
        <v>3</v>
      </c>
      <c r="C394" t="s">
        <v>85</v>
      </c>
      <c r="D394" t="s">
        <v>113</v>
      </c>
      <c r="E394" t="s">
        <v>20</v>
      </c>
      <c r="F394" t="s">
        <v>31</v>
      </c>
      <c r="G394" t="s">
        <v>37</v>
      </c>
      <c r="H394">
        <v>2020</v>
      </c>
      <c r="I394">
        <v>0.63300067261937787</v>
      </c>
    </row>
    <row r="395" spans="1:9">
      <c r="A395">
        <v>1</v>
      </c>
      <c r="B395">
        <v>3</v>
      </c>
      <c r="C395" t="s">
        <v>85</v>
      </c>
      <c r="D395" t="s">
        <v>113</v>
      </c>
      <c r="E395" t="s">
        <v>20</v>
      </c>
      <c r="F395" t="s">
        <v>31</v>
      </c>
      <c r="G395" t="s">
        <v>37</v>
      </c>
      <c r="H395">
        <v>2021</v>
      </c>
      <c r="I395">
        <v>1.1612670955099667</v>
      </c>
    </row>
    <row r="396" spans="1:9">
      <c r="A396">
        <v>1</v>
      </c>
      <c r="B396">
        <v>3</v>
      </c>
      <c r="C396" t="s">
        <v>85</v>
      </c>
      <c r="D396" t="s">
        <v>113</v>
      </c>
      <c r="E396" t="s">
        <v>20</v>
      </c>
      <c r="F396" t="s">
        <v>31</v>
      </c>
      <c r="G396" t="s">
        <v>37</v>
      </c>
      <c r="H396">
        <v>2022</v>
      </c>
      <c r="I396">
        <v>1.3059653524066672</v>
      </c>
    </row>
    <row r="397" spans="1:9">
      <c r="A397">
        <v>1</v>
      </c>
      <c r="B397">
        <v>3</v>
      </c>
      <c r="C397" t="s">
        <v>85</v>
      </c>
      <c r="D397" t="s">
        <v>113</v>
      </c>
      <c r="E397" t="s">
        <v>20</v>
      </c>
      <c r="F397" t="s">
        <v>31</v>
      </c>
      <c r="G397" t="s">
        <v>37</v>
      </c>
      <c r="H397">
        <v>2023</v>
      </c>
      <c r="I397">
        <v>0.94021142230772348</v>
      </c>
    </row>
    <row r="398" spans="1:9">
      <c r="A398">
        <v>1</v>
      </c>
      <c r="B398">
        <v>3</v>
      </c>
      <c r="C398" t="s">
        <v>85</v>
      </c>
      <c r="D398" t="s">
        <v>113</v>
      </c>
      <c r="E398" t="s">
        <v>20</v>
      </c>
      <c r="F398" t="s">
        <v>31</v>
      </c>
      <c r="G398" t="s">
        <v>37</v>
      </c>
      <c r="H398">
        <v>2024</v>
      </c>
      <c r="I398">
        <v>0.84899426349403284</v>
      </c>
    </row>
    <row r="399" spans="1:9">
      <c r="A399">
        <v>1</v>
      </c>
      <c r="B399">
        <v>3</v>
      </c>
      <c r="C399" t="s">
        <v>85</v>
      </c>
      <c r="D399" t="s">
        <v>113</v>
      </c>
      <c r="E399" t="s">
        <v>20</v>
      </c>
      <c r="F399" t="s">
        <v>31</v>
      </c>
      <c r="G399" t="s">
        <v>37</v>
      </c>
      <c r="H399">
        <v>2025</v>
      </c>
      <c r="I399">
        <v>1.4065990274638875</v>
      </c>
    </row>
    <row r="400" spans="1:9">
      <c r="A400">
        <v>1</v>
      </c>
      <c r="B400">
        <v>3</v>
      </c>
      <c r="C400" t="s">
        <v>85</v>
      </c>
      <c r="D400" t="s">
        <v>113</v>
      </c>
      <c r="E400" t="s">
        <v>20</v>
      </c>
      <c r="F400" t="s">
        <v>31</v>
      </c>
      <c r="G400" t="s">
        <v>37</v>
      </c>
      <c r="H400">
        <v>2026</v>
      </c>
      <c r="I400">
        <v>1.1583768417906422</v>
      </c>
    </row>
    <row r="401" spans="1:9">
      <c r="A401">
        <v>1</v>
      </c>
      <c r="B401">
        <v>3</v>
      </c>
      <c r="C401" t="s">
        <v>85</v>
      </c>
      <c r="D401" t="s">
        <v>113</v>
      </c>
      <c r="E401" t="s">
        <v>20</v>
      </c>
      <c r="F401" t="s">
        <v>31</v>
      </c>
      <c r="G401" t="s">
        <v>37</v>
      </c>
      <c r="H401">
        <v>2027</v>
      </c>
      <c r="I401">
        <v>1.4803959167188163</v>
      </c>
    </row>
    <row r="402" spans="1:9">
      <c r="A402">
        <v>1</v>
      </c>
      <c r="B402">
        <v>3</v>
      </c>
      <c r="C402" t="s">
        <v>85</v>
      </c>
      <c r="D402" t="s">
        <v>113</v>
      </c>
      <c r="E402" t="s">
        <v>20</v>
      </c>
      <c r="F402" t="s">
        <v>31</v>
      </c>
      <c r="G402" t="s">
        <v>37</v>
      </c>
      <c r="H402">
        <v>2028</v>
      </c>
      <c r="I402">
        <v>1.4924559799246122</v>
      </c>
    </row>
    <row r="403" spans="1:9">
      <c r="A403">
        <v>1</v>
      </c>
      <c r="B403">
        <v>3</v>
      </c>
      <c r="C403" t="s">
        <v>85</v>
      </c>
      <c r="D403" t="s">
        <v>113</v>
      </c>
      <c r="E403" t="s">
        <v>20</v>
      </c>
      <c r="F403" t="s">
        <v>31</v>
      </c>
      <c r="G403" t="s">
        <v>37</v>
      </c>
      <c r="H403">
        <v>2029</v>
      </c>
      <c r="I403">
        <v>1.6156905486596842</v>
      </c>
    </row>
    <row r="404" spans="1:9">
      <c r="A404">
        <v>1</v>
      </c>
      <c r="B404">
        <v>3</v>
      </c>
      <c r="C404" t="s">
        <v>85</v>
      </c>
      <c r="D404" t="s">
        <v>113</v>
      </c>
      <c r="E404" t="s">
        <v>20</v>
      </c>
      <c r="F404" t="s">
        <v>31</v>
      </c>
      <c r="G404" t="s">
        <v>37</v>
      </c>
      <c r="H404">
        <v>2030</v>
      </c>
      <c r="I404">
        <v>1.8093469917985741</v>
      </c>
    </row>
    <row r="405" spans="1:9">
      <c r="A405">
        <v>1</v>
      </c>
      <c r="B405">
        <v>3</v>
      </c>
      <c r="C405" t="s">
        <v>85</v>
      </c>
      <c r="D405" t="s">
        <v>113</v>
      </c>
      <c r="E405" t="s">
        <v>20</v>
      </c>
      <c r="F405" t="s">
        <v>31</v>
      </c>
      <c r="G405" t="s">
        <v>37</v>
      </c>
      <c r="H405">
        <v>2031</v>
      </c>
      <c r="I405">
        <v>1.8204293114751857</v>
      </c>
    </row>
    <row r="406" spans="1:9">
      <c r="A406">
        <v>1</v>
      </c>
      <c r="B406">
        <v>3</v>
      </c>
      <c r="C406" t="s">
        <v>85</v>
      </c>
      <c r="D406" t="s">
        <v>113</v>
      </c>
      <c r="E406" t="s">
        <v>20</v>
      </c>
      <c r="F406" t="s">
        <v>31</v>
      </c>
      <c r="G406" t="s">
        <v>37</v>
      </c>
      <c r="H406">
        <v>2032</v>
      </c>
      <c r="I406">
        <v>1.6249229538382162</v>
      </c>
    </row>
    <row r="407" spans="1:9">
      <c r="A407">
        <v>1</v>
      </c>
      <c r="B407">
        <v>3</v>
      </c>
      <c r="C407" t="s">
        <v>85</v>
      </c>
      <c r="D407" t="s">
        <v>113</v>
      </c>
      <c r="E407" t="s">
        <v>20</v>
      </c>
      <c r="F407" t="s">
        <v>31</v>
      </c>
      <c r="G407" t="s">
        <v>38</v>
      </c>
      <c r="H407">
        <v>2018</v>
      </c>
      <c r="I407">
        <v>0.45176570146982575</v>
      </c>
    </row>
    <row r="408" spans="1:9">
      <c r="A408">
        <v>1</v>
      </c>
      <c r="B408">
        <v>3</v>
      </c>
      <c r="C408" t="s">
        <v>85</v>
      </c>
      <c r="D408" t="s">
        <v>113</v>
      </c>
      <c r="E408" t="s">
        <v>20</v>
      </c>
      <c r="F408" t="s">
        <v>31</v>
      </c>
      <c r="G408" t="s">
        <v>38</v>
      </c>
      <c r="H408">
        <v>2019</v>
      </c>
      <c r="I408">
        <v>0.37045289851447794</v>
      </c>
    </row>
    <row r="409" spans="1:9">
      <c r="A409">
        <v>1</v>
      </c>
      <c r="B409">
        <v>3</v>
      </c>
      <c r="C409" t="s">
        <v>85</v>
      </c>
      <c r="D409" t="s">
        <v>113</v>
      </c>
      <c r="E409" t="s">
        <v>20</v>
      </c>
      <c r="F409" t="s">
        <v>31</v>
      </c>
      <c r="G409" t="s">
        <v>38</v>
      </c>
      <c r="H409">
        <v>2020</v>
      </c>
      <c r="I409">
        <v>0.55741673352910004</v>
      </c>
    </row>
    <row r="410" spans="1:9">
      <c r="A410">
        <v>1</v>
      </c>
      <c r="B410">
        <v>3</v>
      </c>
      <c r="C410" t="s">
        <v>85</v>
      </c>
      <c r="D410" t="s">
        <v>113</v>
      </c>
      <c r="E410" t="s">
        <v>20</v>
      </c>
      <c r="F410" t="s">
        <v>31</v>
      </c>
      <c r="G410" t="s">
        <v>38</v>
      </c>
      <c r="H410">
        <v>2021</v>
      </c>
      <c r="I410">
        <v>0.55659132374785014</v>
      </c>
    </row>
    <row r="411" spans="1:9">
      <c r="A411">
        <v>1</v>
      </c>
      <c r="B411">
        <v>3</v>
      </c>
      <c r="C411" t="s">
        <v>85</v>
      </c>
      <c r="D411" t="s">
        <v>113</v>
      </c>
      <c r="E411" t="s">
        <v>20</v>
      </c>
      <c r="F411" t="s">
        <v>31</v>
      </c>
      <c r="G411" t="s">
        <v>38</v>
      </c>
      <c r="H411">
        <v>2022</v>
      </c>
      <c r="I411">
        <v>0.34792867163337088</v>
      </c>
    </row>
    <row r="412" spans="1:9">
      <c r="A412">
        <v>1</v>
      </c>
      <c r="B412">
        <v>3</v>
      </c>
      <c r="C412" t="s">
        <v>85</v>
      </c>
      <c r="D412" t="s">
        <v>113</v>
      </c>
      <c r="E412" t="s">
        <v>20</v>
      </c>
      <c r="F412" t="s">
        <v>31</v>
      </c>
      <c r="G412" t="s">
        <v>38</v>
      </c>
      <c r="H412">
        <v>2023</v>
      </c>
      <c r="I412">
        <v>0.64106349970085885</v>
      </c>
    </row>
    <row r="413" spans="1:9">
      <c r="A413">
        <v>1</v>
      </c>
      <c r="B413">
        <v>3</v>
      </c>
      <c r="C413" t="s">
        <v>85</v>
      </c>
      <c r="D413" t="s">
        <v>113</v>
      </c>
      <c r="E413" t="s">
        <v>20</v>
      </c>
      <c r="F413" t="s">
        <v>31</v>
      </c>
      <c r="G413" t="s">
        <v>38</v>
      </c>
      <c r="H413">
        <v>2024</v>
      </c>
      <c r="I413">
        <v>0.39906583379534982</v>
      </c>
    </row>
    <row r="414" spans="1:9">
      <c r="A414">
        <v>1</v>
      </c>
      <c r="B414">
        <v>3</v>
      </c>
      <c r="C414" t="s">
        <v>85</v>
      </c>
      <c r="D414" t="s">
        <v>113</v>
      </c>
      <c r="E414" t="s">
        <v>20</v>
      </c>
      <c r="F414" t="s">
        <v>31</v>
      </c>
      <c r="G414" t="s">
        <v>38</v>
      </c>
      <c r="H414">
        <v>2025</v>
      </c>
      <c r="I414">
        <v>0.69176165757755714</v>
      </c>
    </row>
    <row r="415" spans="1:9">
      <c r="A415">
        <v>1</v>
      </c>
      <c r="B415">
        <v>3</v>
      </c>
      <c r="C415" t="s">
        <v>85</v>
      </c>
      <c r="D415" t="s">
        <v>113</v>
      </c>
      <c r="E415" t="s">
        <v>20</v>
      </c>
      <c r="F415" t="s">
        <v>31</v>
      </c>
      <c r="G415" t="s">
        <v>38</v>
      </c>
      <c r="H415">
        <v>2026</v>
      </c>
      <c r="I415">
        <v>0.50214401289020605</v>
      </c>
    </row>
    <row r="416" spans="1:9">
      <c r="A416">
        <v>1</v>
      </c>
      <c r="B416">
        <v>3</v>
      </c>
      <c r="C416" t="s">
        <v>85</v>
      </c>
      <c r="D416" t="s">
        <v>113</v>
      </c>
      <c r="E416" t="s">
        <v>20</v>
      </c>
      <c r="F416" t="s">
        <v>31</v>
      </c>
      <c r="G416" t="s">
        <v>38</v>
      </c>
      <c r="H416">
        <v>2027</v>
      </c>
      <c r="I416">
        <v>0.38907047767406694</v>
      </c>
    </row>
    <row r="417" spans="1:9">
      <c r="A417">
        <v>1</v>
      </c>
      <c r="B417">
        <v>3</v>
      </c>
      <c r="C417" t="s">
        <v>85</v>
      </c>
      <c r="D417" t="s">
        <v>113</v>
      </c>
      <c r="E417" t="s">
        <v>20</v>
      </c>
      <c r="F417" t="s">
        <v>31</v>
      </c>
      <c r="G417" t="s">
        <v>38</v>
      </c>
      <c r="H417">
        <v>2028</v>
      </c>
      <c r="I417">
        <v>0.48593141759529873</v>
      </c>
    </row>
    <row r="418" spans="1:9">
      <c r="A418">
        <v>1</v>
      </c>
      <c r="B418">
        <v>3</v>
      </c>
      <c r="C418" t="s">
        <v>85</v>
      </c>
      <c r="D418" t="s">
        <v>113</v>
      </c>
      <c r="E418" t="s">
        <v>20</v>
      </c>
      <c r="F418" t="s">
        <v>31</v>
      </c>
      <c r="G418" t="s">
        <v>38</v>
      </c>
      <c r="H418">
        <v>2029</v>
      </c>
      <c r="I418">
        <v>0.82577956665731833</v>
      </c>
    </row>
    <row r="419" spans="1:9">
      <c r="A419">
        <v>1</v>
      </c>
      <c r="B419">
        <v>3</v>
      </c>
      <c r="C419" t="s">
        <v>85</v>
      </c>
      <c r="D419" t="s">
        <v>113</v>
      </c>
      <c r="E419" t="s">
        <v>20</v>
      </c>
      <c r="F419" t="s">
        <v>31</v>
      </c>
      <c r="G419" t="s">
        <v>38</v>
      </c>
      <c r="H419">
        <v>2030</v>
      </c>
      <c r="I419">
        <v>0.66591954118682439</v>
      </c>
    </row>
    <row r="420" spans="1:9">
      <c r="A420">
        <v>1</v>
      </c>
      <c r="B420">
        <v>3</v>
      </c>
      <c r="C420" t="s">
        <v>85</v>
      </c>
      <c r="D420" t="s">
        <v>113</v>
      </c>
      <c r="E420" t="s">
        <v>20</v>
      </c>
      <c r="F420" t="s">
        <v>31</v>
      </c>
      <c r="G420" t="s">
        <v>38</v>
      </c>
      <c r="H420">
        <v>2031</v>
      </c>
      <c r="I420">
        <v>0.67080299466848259</v>
      </c>
    </row>
    <row r="421" spans="1:9">
      <c r="A421">
        <v>1</v>
      </c>
      <c r="B421">
        <v>3</v>
      </c>
      <c r="C421" t="s">
        <v>85</v>
      </c>
      <c r="D421" t="s">
        <v>113</v>
      </c>
      <c r="E421" t="s">
        <v>20</v>
      </c>
      <c r="F421" t="s">
        <v>31</v>
      </c>
      <c r="G421" t="s">
        <v>38</v>
      </c>
      <c r="H421">
        <v>2032</v>
      </c>
      <c r="I421">
        <v>0.91043435168414133</v>
      </c>
    </row>
    <row r="422" spans="1:9">
      <c r="A422">
        <v>1</v>
      </c>
      <c r="B422">
        <v>3</v>
      </c>
      <c r="C422" t="s">
        <v>85</v>
      </c>
      <c r="D422" t="s">
        <v>113</v>
      </c>
      <c r="E422" t="s">
        <v>23</v>
      </c>
      <c r="F422" t="s">
        <v>32</v>
      </c>
      <c r="G422" t="s">
        <v>37</v>
      </c>
      <c r="H422">
        <v>2018</v>
      </c>
      <c r="I422">
        <v>1.1966756796091271</v>
      </c>
    </row>
    <row r="423" spans="1:9">
      <c r="A423">
        <v>1</v>
      </c>
      <c r="B423">
        <v>3</v>
      </c>
      <c r="C423" t="s">
        <v>85</v>
      </c>
      <c r="D423" t="s">
        <v>113</v>
      </c>
      <c r="E423" t="s">
        <v>23</v>
      </c>
      <c r="F423" t="s">
        <v>32</v>
      </c>
      <c r="G423" t="s">
        <v>37</v>
      </c>
      <c r="H423">
        <v>2019</v>
      </c>
      <c r="I423">
        <v>1.2210062422417702</v>
      </c>
    </row>
    <row r="424" spans="1:9">
      <c r="A424">
        <v>1</v>
      </c>
      <c r="B424">
        <v>3</v>
      </c>
      <c r="C424" t="s">
        <v>85</v>
      </c>
      <c r="D424" t="s">
        <v>113</v>
      </c>
      <c r="E424" t="s">
        <v>23</v>
      </c>
      <c r="F424" t="s">
        <v>32</v>
      </c>
      <c r="G424" t="s">
        <v>37</v>
      </c>
      <c r="H424">
        <v>2020</v>
      </c>
      <c r="I424">
        <v>2.1263861223470095</v>
      </c>
    </row>
    <row r="425" spans="1:9">
      <c r="A425">
        <v>1</v>
      </c>
      <c r="B425">
        <v>3</v>
      </c>
      <c r="C425" t="s">
        <v>85</v>
      </c>
      <c r="D425" t="s">
        <v>113</v>
      </c>
      <c r="E425" t="s">
        <v>23</v>
      </c>
      <c r="F425" t="s">
        <v>32</v>
      </c>
      <c r="G425" t="s">
        <v>37</v>
      </c>
      <c r="H425">
        <v>2021</v>
      </c>
      <c r="I425">
        <v>1.9614137269424021</v>
      </c>
    </row>
    <row r="426" spans="1:9">
      <c r="A426">
        <v>1</v>
      </c>
      <c r="B426">
        <v>3</v>
      </c>
      <c r="C426" t="s">
        <v>85</v>
      </c>
      <c r="D426" t="s">
        <v>113</v>
      </c>
      <c r="E426" t="s">
        <v>23</v>
      </c>
      <c r="F426" t="s">
        <v>32</v>
      </c>
      <c r="G426" t="s">
        <v>37</v>
      </c>
      <c r="H426">
        <v>2022</v>
      </c>
      <c r="I426">
        <v>1.6282954559794005</v>
      </c>
    </row>
    <row r="427" spans="1:9">
      <c r="A427">
        <v>1</v>
      </c>
      <c r="B427">
        <v>3</v>
      </c>
      <c r="C427" t="s">
        <v>85</v>
      </c>
      <c r="D427" t="s">
        <v>113</v>
      </c>
      <c r="E427" t="s">
        <v>23</v>
      </c>
      <c r="F427" t="s">
        <v>32</v>
      </c>
      <c r="G427" t="s">
        <v>37</v>
      </c>
      <c r="H427">
        <v>2023</v>
      </c>
      <c r="I427">
        <v>2.0656709854052115</v>
      </c>
    </row>
    <row r="428" spans="1:9">
      <c r="A428">
        <v>1</v>
      </c>
      <c r="B428">
        <v>3</v>
      </c>
      <c r="C428" t="s">
        <v>85</v>
      </c>
      <c r="D428" t="s">
        <v>113</v>
      </c>
      <c r="E428" t="s">
        <v>23</v>
      </c>
      <c r="F428" t="s">
        <v>32</v>
      </c>
      <c r="G428" t="s">
        <v>37</v>
      </c>
      <c r="H428">
        <v>2024</v>
      </c>
      <c r="I428">
        <v>1.9788649600758565</v>
      </c>
    </row>
    <row r="429" spans="1:9">
      <c r="A429">
        <v>1</v>
      </c>
      <c r="B429">
        <v>3</v>
      </c>
      <c r="C429" t="s">
        <v>85</v>
      </c>
      <c r="D429" t="s">
        <v>113</v>
      </c>
      <c r="E429" t="s">
        <v>23</v>
      </c>
      <c r="F429" t="s">
        <v>32</v>
      </c>
      <c r="G429" t="s">
        <v>37</v>
      </c>
      <c r="H429">
        <v>2025</v>
      </c>
      <c r="I429">
        <v>2.5763719607035607</v>
      </c>
    </row>
    <row r="430" spans="1:9">
      <c r="A430">
        <v>1</v>
      </c>
      <c r="B430">
        <v>3</v>
      </c>
      <c r="C430" t="s">
        <v>85</v>
      </c>
      <c r="D430" t="s">
        <v>113</v>
      </c>
      <c r="E430" t="s">
        <v>23</v>
      </c>
      <c r="F430" t="s">
        <v>32</v>
      </c>
      <c r="G430" t="s">
        <v>37</v>
      </c>
      <c r="H430">
        <v>2026</v>
      </c>
      <c r="I430">
        <v>3.1571733476754726</v>
      </c>
    </row>
    <row r="431" spans="1:9">
      <c r="A431">
        <v>1</v>
      </c>
      <c r="B431">
        <v>3</v>
      </c>
      <c r="C431" t="s">
        <v>85</v>
      </c>
      <c r="D431" t="s">
        <v>113</v>
      </c>
      <c r="E431" t="s">
        <v>23</v>
      </c>
      <c r="F431" t="s">
        <v>32</v>
      </c>
      <c r="G431" t="s">
        <v>37</v>
      </c>
      <c r="H431">
        <v>2027</v>
      </c>
      <c r="I431">
        <v>2.0488908787490807</v>
      </c>
    </row>
    <row r="432" spans="1:9">
      <c r="A432">
        <v>1</v>
      </c>
      <c r="B432">
        <v>3</v>
      </c>
      <c r="C432" t="s">
        <v>85</v>
      </c>
      <c r="D432" t="s">
        <v>113</v>
      </c>
      <c r="E432" t="s">
        <v>23</v>
      </c>
      <c r="F432" t="s">
        <v>32</v>
      </c>
      <c r="G432" t="s">
        <v>37</v>
      </c>
      <c r="H432">
        <v>2028</v>
      </c>
      <c r="I432">
        <v>2.4459803992557831</v>
      </c>
    </row>
    <row r="433" spans="1:9">
      <c r="A433">
        <v>1</v>
      </c>
      <c r="B433">
        <v>3</v>
      </c>
      <c r="C433" t="s">
        <v>85</v>
      </c>
      <c r="D433" t="s">
        <v>113</v>
      </c>
      <c r="E433" t="s">
        <v>23</v>
      </c>
      <c r="F433" t="s">
        <v>32</v>
      </c>
      <c r="G433" t="s">
        <v>37</v>
      </c>
      <c r="H433">
        <v>2029</v>
      </c>
      <c r="I433">
        <v>3.0374639200450235</v>
      </c>
    </row>
    <row r="434" spans="1:9">
      <c r="A434">
        <v>1</v>
      </c>
      <c r="B434">
        <v>3</v>
      </c>
      <c r="C434" t="s">
        <v>85</v>
      </c>
      <c r="D434" t="s">
        <v>113</v>
      </c>
      <c r="E434" t="s">
        <v>23</v>
      </c>
      <c r="F434" t="s">
        <v>32</v>
      </c>
      <c r="G434" t="s">
        <v>37</v>
      </c>
      <c r="H434">
        <v>2030</v>
      </c>
      <c r="I434">
        <v>2.7266517526227978</v>
      </c>
    </row>
    <row r="435" spans="1:9">
      <c r="A435">
        <v>1</v>
      </c>
      <c r="B435">
        <v>3</v>
      </c>
      <c r="C435" t="s">
        <v>85</v>
      </c>
      <c r="D435" t="s">
        <v>113</v>
      </c>
      <c r="E435" t="s">
        <v>23</v>
      </c>
      <c r="F435" t="s">
        <v>32</v>
      </c>
      <c r="G435" t="s">
        <v>37</v>
      </c>
      <c r="H435">
        <v>2031</v>
      </c>
      <c r="I435">
        <v>3.3033952642596169</v>
      </c>
    </row>
    <row r="436" spans="1:9">
      <c r="A436">
        <v>1</v>
      </c>
      <c r="B436">
        <v>3</v>
      </c>
      <c r="C436" t="s">
        <v>85</v>
      </c>
      <c r="D436" t="s">
        <v>113</v>
      </c>
      <c r="E436" t="s">
        <v>23</v>
      </c>
      <c r="F436" t="s">
        <v>32</v>
      </c>
      <c r="G436" t="s">
        <v>37</v>
      </c>
      <c r="H436">
        <v>2032</v>
      </c>
      <c r="I436">
        <v>4.1034339344101358</v>
      </c>
    </row>
    <row r="437" spans="1:9">
      <c r="A437">
        <v>1</v>
      </c>
      <c r="B437">
        <v>3</v>
      </c>
      <c r="C437" t="s">
        <v>85</v>
      </c>
      <c r="D437" t="s">
        <v>113</v>
      </c>
      <c r="E437" t="s">
        <v>23</v>
      </c>
      <c r="F437" t="s">
        <v>32</v>
      </c>
      <c r="G437" t="s">
        <v>38</v>
      </c>
      <c r="H437">
        <v>2018</v>
      </c>
      <c r="I437">
        <v>1.1103440633001935</v>
      </c>
    </row>
    <row r="438" spans="1:9">
      <c r="A438">
        <v>1</v>
      </c>
      <c r="B438">
        <v>3</v>
      </c>
      <c r="C438" t="s">
        <v>85</v>
      </c>
      <c r="D438" t="s">
        <v>113</v>
      </c>
      <c r="E438" t="s">
        <v>23</v>
      </c>
      <c r="F438" t="s">
        <v>32</v>
      </c>
      <c r="G438" t="s">
        <v>38</v>
      </c>
      <c r="H438">
        <v>2019</v>
      </c>
      <c r="I438">
        <v>0.93498168357025824</v>
      </c>
    </row>
    <row r="439" spans="1:9">
      <c r="A439">
        <v>1</v>
      </c>
      <c r="B439">
        <v>3</v>
      </c>
      <c r="C439" t="s">
        <v>85</v>
      </c>
      <c r="D439" t="s">
        <v>113</v>
      </c>
      <c r="E439" t="s">
        <v>23</v>
      </c>
      <c r="F439" t="s">
        <v>32</v>
      </c>
      <c r="G439" t="s">
        <v>38</v>
      </c>
      <c r="H439">
        <v>2020</v>
      </c>
      <c r="I439">
        <v>0.93684230087633602</v>
      </c>
    </row>
    <row r="440" spans="1:9">
      <c r="A440">
        <v>1</v>
      </c>
      <c r="B440">
        <v>3</v>
      </c>
      <c r="C440" t="s">
        <v>85</v>
      </c>
      <c r="D440" t="s">
        <v>113</v>
      </c>
      <c r="E440" t="s">
        <v>23</v>
      </c>
      <c r="F440" t="s">
        <v>32</v>
      </c>
      <c r="G440" t="s">
        <v>38</v>
      </c>
      <c r="H440">
        <v>2021</v>
      </c>
      <c r="I440">
        <v>1.4137419609166773</v>
      </c>
    </row>
    <row r="441" spans="1:9">
      <c r="A441">
        <v>1</v>
      </c>
      <c r="B441">
        <v>3</v>
      </c>
      <c r="C441" t="s">
        <v>85</v>
      </c>
      <c r="D441" t="s">
        <v>113</v>
      </c>
      <c r="E441" t="s">
        <v>23</v>
      </c>
      <c r="F441" t="s">
        <v>32</v>
      </c>
      <c r="G441" t="s">
        <v>38</v>
      </c>
      <c r="H441">
        <v>2022</v>
      </c>
      <c r="I441">
        <v>1.4521101630354343</v>
      </c>
    </row>
    <row r="442" spans="1:9">
      <c r="A442">
        <v>1</v>
      </c>
      <c r="B442">
        <v>3</v>
      </c>
      <c r="C442" t="s">
        <v>85</v>
      </c>
      <c r="D442" t="s">
        <v>113</v>
      </c>
      <c r="E442" t="s">
        <v>23</v>
      </c>
      <c r="F442" t="s">
        <v>32</v>
      </c>
      <c r="G442" t="s">
        <v>38</v>
      </c>
      <c r="H442">
        <v>2023</v>
      </c>
      <c r="I442">
        <v>0.91444703668579463</v>
      </c>
    </row>
    <row r="443" spans="1:9">
      <c r="A443">
        <v>1</v>
      </c>
      <c r="B443">
        <v>3</v>
      </c>
      <c r="C443" t="s">
        <v>85</v>
      </c>
      <c r="D443" t="s">
        <v>113</v>
      </c>
      <c r="E443" t="s">
        <v>23</v>
      </c>
      <c r="F443" t="s">
        <v>32</v>
      </c>
      <c r="G443" t="s">
        <v>38</v>
      </c>
      <c r="H443">
        <v>2024</v>
      </c>
      <c r="I443">
        <v>1.0391960514536938</v>
      </c>
    </row>
    <row r="444" spans="1:9">
      <c r="A444">
        <v>1</v>
      </c>
      <c r="B444">
        <v>3</v>
      </c>
      <c r="C444" t="s">
        <v>85</v>
      </c>
      <c r="D444" t="s">
        <v>113</v>
      </c>
      <c r="E444" t="s">
        <v>23</v>
      </c>
      <c r="F444" t="s">
        <v>32</v>
      </c>
      <c r="G444" t="s">
        <v>38</v>
      </c>
      <c r="H444">
        <v>2025</v>
      </c>
      <c r="I444">
        <v>1.3800276319955445</v>
      </c>
    </row>
    <row r="445" spans="1:9">
      <c r="A445">
        <v>1</v>
      </c>
      <c r="B445">
        <v>3</v>
      </c>
      <c r="C445" t="s">
        <v>85</v>
      </c>
      <c r="D445" t="s">
        <v>113</v>
      </c>
      <c r="E445" t="s">
        <v>23</v>
      </c>
      <c r="F445" t="s">
        <v>32</v>
      </c>
      <c r="G445" t="s">
        <v>38</v>
      </c>
      <c r="H445">
        <v>2026</v>
      </c>
      <c r="I445">
        <v>1.5174778530360165</v>
      </c>
    </row>
    <row r="446" spans="1:9">
      <c r="A446">
        <v>1</v>
      </c>
      <c r="B446">
        <v>3</v>
      </c>
      <c r="C446" t="s">
        <v>85</v>
      </c>
      <c r="D446" t="s">
        <v>113</v>
      </c>
      <c r="E446" t="s">
        <v>23</v>
      </c>
      <c r="F446" t="s">
        <v>32</v>
      </c>
      <c r="G446" t="s">
        <v>38</v>
      </c>
      <c r="H446">
        <v>2027</v>
      </c>
      <c r="I446">
        <v>1.2038769298143344</v>
      </c>
    </row>
    <row r="447" spans="1:9">
      <c r="A447">
        <v>1</v>
      </c>
      <c r="B447">
        <v>3</v>
      </c>
      <c r="C447" t="s">
        <v>85</v>
      </c>
      <c r="D447" t="s">
        <v>113</v>
      </c>
      <c r="E447" t="s">
        <v>23</v>
      </c>
      <c r="F447" t="s">
        <v>32</v>
      </c>
      <c r="G447" t="s">
        <v>38</v>
      </c>
      <c r="H447">
        <v>2028</v>
      </c>
      <c r="I447">
        <v>1.3499702088163632</v>
      </c>
    </row>
    <row r="448" spans="1:9">
      <c r="A448">
        <v>1</v>
      </c>
      <c r="B448">
        <v>3</v>
      </c>
      <c r="C448" t="s">
        <v>85</v>
      </c>
      <c r="D448" t="s">
        <v>113</v>
      </c>
      <c r="E448" t="s">
        <v>23</v>
      </c>
      <c r="F448" t="s">
        <v>32</v>
      </c>
      <c r="G448" t="s">
        <v>38</v>
      </c>
      <c r="H448">
        <v>2029</v>
      </c>
      <c r="I448">
        <v>1.297262870814619</v>
      </c>
    </row>
    <row r="449" spans="1:9">
      <c r="A449">
        <v>1</v>
      </c>
      <c r="B449">
        <v>3</v>
      </c>
      <c r="C449" t="s">
        <v>85</v>
      </c>
      <c r="D449" t="s">
        <v>113</v>
      </c>
      <c r="E449" t="s">
        <v>23</v>
      </c>
      <c r="F449" t="s">
        <v>32</v>
      </c>
      <c r="G449" t="s">
        <v>38</v>
      </c>
      <c r="H449">
        <v>2030</v>
      </c>
      <c r="I449">
        <v>1.6653502629719932</v>
      </c>
    </row>
    <row r="450" spans="1:9">
      <c r="A450">
        <v>1</v>
      </c>
      <c r="B450">
        <v>3</v>
      </c>
      <c r="C450" t="s">
        <v>85</v>
      </c>
      <c r="D450" t="s">
        <v>113</v>
      </c>
      <c r="E450" t="s">
        <v>23</v>
      </c>
      <c r="F450" t="s">
        <v>32</v>
      </c>
      <c r="G450" t="s">
        <v>38</v>
      </c>
      <c r="H450">
        <v>2031</v>
      </c>
      <c r="I450">
        <v>1.6284420446099361</v>
      </c>
    </row>
    <row r="451" spans="1:9">
      <c r="A451">
        <v>1</v>
      </c>
      <c r="B451">
        <v>3</v>
      </c>
      <c r="C451" t="s">
        <v>85</v>
      </c>
      <c r="D451" t="s">
        <v>113</v>
      </c>
      <c r="E451" t="s">
        <v>23</v>
      </c>
      <c r="F451" t="s">
        <v>32</v>
      </c>
      <c r="G451" t="s">
        <v>38</v>
      </c>
      <c r="H451">
        <v>2032</v>
      </c>
      <c r="I451">
        <v>1.1144044970649951</v>
      </c>
    </row>
    <row r="452" spans="1:9">
      <c r="A452">
        <v>1</v>
      </c>
      <c r="B452">
        <v>3</v>
      </c>
      <c r="C452" t="s">
        <v>85</v>
      </c>
      <c r="D452" t="s">
        <v>114</v>
      </c>
      <c r="E452" t="s">
        <v>25</v>
      </c>
      <c r="F452" t="s">
        <v>115</v>
      </c>
      <c r="G452" t="s">
        <v>37</v>
      </c>
      <c r="H452">
        <v>2018</v>
      </c>
      <c r="I452">
        <v>1.4791950336006066</v>
      </c>
    </row>
    <row r="453" spans="1:9">
      <c r="A453">
        <v>1</v>
      </c>
      <c r="B453">
        <v>3</v>
      </c>
      <c r="C453" t="s">
        <v>85</v>
      </c>
      <c r="D453" t="s">
        <v>114</v>
      </c>
      <c r="E453" t="s">
        <v>25</v>
      </c>
      <c r="F453" t="s">
        <v>115</v>
      </c>
      <c r="G453" t="s">
        <v>37</v>
      </c>
      <c r="H453">
        <v>2019</v>
      </c>
      <c r="I453">
        <v>1.8133297926060865</v>
      </c>
    </row>
    <row r="454" spans="1:9">
      <c r="A454">
        <v>1</v>
      </c>
      <c r="B454">
        <v>3</v>
      </c>
      <c r="C454" t="s">
        <v>85</v>
      </c>
      <c r="D454" t="s">
        <v>114</v>
      </c>
      <c r="E454" t="s">
        <v>25</v>
      </c>
      <c r="F454" t="s">
        <v>115</v>
      </c>
      <c r="G454" t="s">
        <v>37</v>
      </c>
      <c r="H454">
        <v>2020</v>
      </c>
      <c r="I454">
        <v>1.5424076205224302</v>
      </c>
    </row>
    <row r="455" spans="1:9">
      <c r="A455">
        <v>1</v>
      </c>
      <c r="B455">
        <v>3</v>
      </c>
      <c r="C455" t="s">
        <v>85</v>
      </c>
      <c r="D455" t="s">
        <v>114</v>
      </c>
      <c r="E455" t="s">
        <v>25</v>
      </c>
      <c r="F455" t="s">
        <v>115</v>
      </c>
      <c r="G455" t="s">
        <v>37</v>
      </c>
      <c r="H455">
        <v>2021</v>
      </c>
      <c r="I455">
        <v>2.6411475233761337</v>
      </c>
    </row>
    <row r="456" spans="1:9">
      <c r="A456">
        <v>1</v>
      </c>
      <c r="B456">
        <v>3</v>
      </c>
      <c r="C456" t="s">
        <v>85</v>
      </c>
      <c r="D456" t="s">
        <v>114</v>
      </c>
      <c r="E456" t="s">
        <v>25</v>
      </c>
      <c r="F456" t="s">
        <v>115</v>
      </c>
      <c r="G456" t="s">
        <v>37</v>
      </c>
      <c r="H456">
        <v>2022</v>
      </c>
      <c r="I456">
        <v>2.7947240187602231</v>
      </c>
    </row>
    <row r="457" spans="1:9">
      <c r="A457">
        <v>1</v>
      </c>
      <c r="B457">
        <v>3</v>
      </c>
      <c r="C457" t="s">
        <v>85</v>
      </c>
      <c r="D457" t="s">
        <v>114</v>
      </c>
      <c r="E457" t="s">
        <v>25</v>
      </c>
      <c r="F457" t="s">
        <v>115</v>
      </c>
      <c r="G457" t="s">
        <v>37</v>
      </c>
      <c r="H457">
        <v>2023</v>
      </c>
      <c r="I457">
        <v>1.6820415760990888</v>
      </c>
    </row>
    <row r="458" spans="1:9">
      <c r="A458">
        <v>1</v>
      </c>
      <c r="B458">
        <v>3</v>
      </c>
      <c r="C458" t="s">
        <v>85</v>
      </c>
      <c r="D458" t="s">
        <v>114</v>
      </c>
      <c r="E458" t="s">
        <v>25</v>
      </c>
      <c r="F458" t="s">
        <v>115</v>
      </c>
      <c r="G458" t="s">
        <v>37</v>
      </c>
      <c r="H458">
        <v>2024</v>
      </c>
      <c r="I458">
        <v>2.2402416307253707</v>
      </c>
    </row>
    <row r="459" spans="1:9">
      <c r="A459">
        <v>1</v>
      </c>
      <c r="B459">
        <v>3</v>
      </c>
      <c r="C459" t="s">
        <v>85</v>
      </c>
      <c r="D459" t="s">
        <v>114</v>
      </c>
      <c r="E459" t="s">
        <v>25</v>
      </c>
      <c r="F459" t="s">
        <v>115</v>
      </c>
      <c r="G459" t="s">
        <v>37</v>
      </c>
      <c r="H459">
        <v>2025</v>
      </c>
      <c r="I459">
        <v>1.9612181148278249</v>
      </c>
    </row>
    <row r="460" spans="1:9">
      <c r="A460">
        <v>1</v>
      </c>
      <c r="B460">
        <v>3</v>
      </c>
      <c r="C460" t="s">
        <v>85</v>
      </c>
      <c r="D460" t="s">
        <v>114</v>
      </c>
      <c r="E460" t="s">
        <v>25</v>
      </c>
      <c r="F460" t="s">
        <v>115</v>
      </c>
      <c r="G460" t="s">
        <v>37</v>
      </c>
      <c r="H460">
        <v>2026</v>
      </c>
      <c r="I460">
        <v>2.5058505014216985</v>
      </c>
    </row>
    <row r="461" spans="1:9">
      <c r="A461">
        <v>1</v>
      </c>
      <c r="B461">
        <v>3</v>
      </c>
      <c r="C461" t="s">
        <v>85</v>
      </c>
      <c r="D461" t="s">
        <v>114</v>
      </c>
      <c r="E461" t="s">
        <v>25</v>
      </c>
      <c r="F461" t="s">
        <v>115</v>
      </c>
      <c r="G461" t="s">
        <v>37</v>
      </c>
      <c r="H461">
        <v>2027</v>
      </c>
      <c r="I461">
        <v>2.3107663207065672</v>
      </c>
    </row>
    <row r="462" spans="1:9">
      <c r="A462">
        <v>1</v>
      </c>
      <c r="B462">
        <v>3</v>
      </c>
      <c r="C462" t="s">
        <v>85</v>
      </c>
      <c r="D462" t="s">
        <v>114</v>
      </c>
      <c r="E462" t="s">
        <v>25</v>
      </c>
      <c r="F462" t="s">
        <v>115</v>
      </c>
      <c r="G462" t="s">
        <v>37</v>
      </c>
      <c r="H462">
        <v>2028</v>
      </c>
      <c r="I462">
        <v>3.5942321437407734</v>
      </c>
    </row>
    <row r="463" spans="1:9">
      <c r="A463">
        <v>1</v>
      </c>
      <c r="B463">
        <v>3</v>
      </c>
      <c r="C463" t="s">
        <v>85</v>
      </c>
      <c r="D463" t="s">
        <v>114</v>
      </c>
      <c r="E463" t="s">
        <v>25</v>
      </c>
      <c r="F463" t="s">
        <v>115</v>
      </c>
      <c r="G463" t="s">
        <v>37</v>
      </c>
      <c r="H463">
        <v>2029</v>
      </c>
      <c r="I463">
        <v>3.8071435695584555</v>
      </c>
    </row>
    <row r="464" spans="1:9">
      <c r="A464">
        <v>1</v>
      </c>
      <c r="B464">
        <v>3</v>
      </c>
      <c r="C464" t="s">
        <v>85</v>
      </c>
      <c r="D464" t="s">
        <v>114</v>
      </c>
      <c r="E464" t="s">
        <v>25</v>
      </c>
      <c r="F464" t="s">
        <v>115</v>
      </c>
      <c r="G464" t="s">
        <v>37</v>
      </c>
      <c r="H464">
        <v>2030</v>
      </c>
      <c r="I464">
        <v>3.9877277977655621</v>
      </c>
    </row>
    <row r="465" spans="1:9">
      <c r="A465">
        <v>1</v>
      </c>
      <c r="B465">
        <v>3</v>
      </c>
      <c r="C465" t="s">
        <v>85</v>
      </c>
      <c r="D465" t="s">
        <v>114</v>
      </c>
      <c r="E465" t="s">
        <v>25</v>
      </c>
      <c r="F465" t="s">
        <v>115</v>
      </c>
      <c r="G465" t="s">
        <v>37</v>
      </c>
      <c r="H465">
        <v>2031</v>
      </c>
      <c r="I465">
        <v>3.463080201841243</v>
      </c>
    </row>
    <row r="466" spans="1:9">
      <c r="A466">
        <v>1</v>
      </c>
      <c r="B466">
        <v>3</v>
      </c>
      <c r="C466" t="s">
        <v>85</v>
      </c>
      <c r="D466" t="s">
        <v>114</v>
      </c>
      <c r="E466" t="s">
        <v>25</v>
      </c>
      <c r="F466" t="s">
        <v>115</v>
      </c>
      <c r="G466" t="s">
        <v>37</v>
      </c>
      <c r="H466">
        <v>2032</v>
      </c>
      <c r="I466">
        <v>3.1588125728815024</v>
      </c>
    </row>
    <row r="467" spans="1:9">
      <c r="A467">
        <v>1</v>
      </c>
      <c r="B467">
        <v>3</v>
      </c>
      <c r="C467" t="s">
        <v>85</v>
      </c>
      <c r="D467" t="s">
        <v>114</v>
      </c>
      <c r="E467" t="s">
        <v>25</v>
      </c>
      <c r="F467" t="s">
        <v>115</v>
      </c>
      <c r="G467" t="s">
        <v>38</v>
      </c>
      <c r="H467">
        <v>2018</v>
      </c>
      <c r="I467">
        <v>0.84285919929959108</v>
      </c>
    </row>
    <row r="468" spans="1:9">
      <c r="A468">
        <v>1</v>
      </c>
      <c r="B468">
        <v>3</v>
      </c>
      <c r="C468" t="s">
        <v>85</v>
      </c>
      <c r="D468" t="s">
        <v>114</v>
      </c>
      <c r="E468" t="s">
        <v>25</v>
      </c>
      <c r="F468" t="s">
        <v>115</v>
      </c>
      <c r="G468" t="s">
        <v>38</v>
      </c>
      <c r="H468">
        <v>2019</v>
      </c>
      <c r="I468">
        <v>1.0800040034259202</v>
      </c>
    </row>
    <row r="469" spans="1:9">
      <c r="A469">
        <v>1</v>
      </c>
      <c r="B469">
        <v>3</v>
      </c>
      <c r="C469" t="s">
        <v>85</v>
      </c>
      <c r="D469" t="s">
        <v>114</v>
      </c>
      <c r="E469" t="s">
        <v>25</v>
      </c>
      <c r="F469" t="s">
        <v>115</v>
      </c>
      <c r="G469" t="s">
        <v>38</v>
      </c>
      <c r="H469">
        <v>2020</v>
      </c>
      <c r="I469">
        <v>1.041962038058136</v>
      </c>
    </row>
    <row r="470" spans="1:9">
      <c r="A470">
        <v>1</v>
      </c>
      <c r="B470">
        <v>3</v>
      </c>
      <c r="C470" t="s">
        <v>85</v>
      </c>
      <c r="D470" t="s">
        <v>114</v>
      </c>
      <c r="E470" t="s">
        <v>25</v>
      </c>
      <c r="F470" t="s">
        <v>115</v>
      </c>
      <c r="G470" t="s">
        <v>38</v>
      </c>
      <c r="H470">
        <v>2021</v>
      </c>
      <c r="I470">
        <v>1.1313707809813673</v>
      </c>
    </row>
    <row r="471" spans="1:9">
      <c r="A471">
        <v>1</v>
      </c>
      <c r="B471">
        <v>3</v>
      </c>
      <c r="C471" t="s">
        <v>85</v>
      </c>
      <c r="D471" t="s">
        <v>114</v>
      </c>
      <c r="E471" t="s">
        <v>25</v>
      </c>
      <c r="F471" t="s">
        <v>115</v>
      </c>
      <c r="G471" t="s">
        <v>38</v>
      </c>
      <c r="H471">
        <v>2022</v>
      </c>
      <c r="I471">
        <v>1.2183395805202741</v>
      </c>
    </row>
    <row r="472" spans="1:9">
      <c r="A472">
        <v>1</v>
      </c>
      <c r="B472">
        <v>3</v>
      </c>
      <c r="C472" t="s">
        <v>85</v>
      </c>
      <c r="D472" t="s">
        <v>114</v>
      </c>
      <c r="E472" t="s">
        <v>25</v>
      </c>
      <c r="F472" t="s">
        <v>115</v>
      </c>
      <c r="G472" t="s">
        <v>38</v>
      </c>
      <c r="H472">
        <v>2023</v>
      </c>
      <c r="I472">
        <v>0.76909717641105035</v>
      </c>
    </row>
    <row r="473" spans="1:9">
      <c r="A473">
        <v>1</v>
      </c>
      <c r="B473">
        <v>3</v>
      </c>
      <c r="C473" t="s">
        <v>85</v>
      </c>
      <c r="D473" t="s">
        <v>114</v>
      </c>
      <c r="E473" t="s">
        <v>25</v>
      </c>
      <c r="F473" t="s">
        <v>115</v>
      </c>
      <c r="G473" t="s">
        <v>38</v>
      </c>
      <c r="H473">
        <v>2024</v>
      </c>
      <c r="I473">
        <v>1.2221065744906041</v>
      </c>
    </row>
    <row r="474" spans="1:9">
      <c r="A474">
        <v>1</v>
      </c>
      <c r="B474">
        <v>3</v>
      </c>
      <c r="C474" t="s">
        <v>85</v>
      </c>
      <c r="D474" t="s">
        <v>114</v>
      </c>
      <c r="E474" t="s">
        <v>25</v>
      </c>
      <c r="F474" t="s">
        <v>115</v>
      </c>
      <c r="G474" t="s">
        <v>38</v>
      </c>
      <c r="H474">
        <v>2025</v>
      </c>
      <c r="I474">
        <v>1.6999371395003418</v>
      </c>
    </row>
    <row r="475" spans="1:9">
      <c r="A475">
        <v>1</v>
      </c>
      <c r="B475">
        <v>3</v>
      </c>
      <c r="C475" t="s">
        <v>85</v>
      </c>
      <c r="D475" t="s">
        <v>114</v>
      </c>
      <c r="E475" t="s">
        <v>25</v>
      </c>
      <c r="F475" t="s">
        <v>115</v>
      </c>
      <c r="G475" t="s">
        <v>38</v>
      </c>
      <c r="H475">
        <v>2026</v>
      </c>
      <c r="I475">
        <v>0.9330685424262346</v>
      </c>
    </row>
    <row r="476" spans="1:9">
      <c r="A476">
        <v>1</v>
      </c>
      <c r="B476">
        <v>3</v>
      </c>
      <c r="C476" t="s">
        <v>85</v>
      </c>
      <c r="D476" t="s">
        <v>114</v>
      </c>
      <c r="E476" t="s">
        <v>25</v>
      </c>
      <c r="F476" t="s">
        <v>115</v>
      </c>
      <c r="G476" t="s">
        <v>38</v>
      </c>
      <c r="H476">
        <v>2027</v>
      </c>
      <c r="I476">
        <v>0.9044960603861284</v>
      </c>
    </row>
    <row r="477" spans="1:9">
      <c r="A477">
        <v>1</v>
      </c>
      <c r="B477">
        <v>3</v>
      </c>
      <c r="C477" t="s">
        <v>85</v>
      </c>
      <c r="D477" t="s">
        <v>114</v>
      </c>
      <c r="E477" t="s">
        <v>25</v>
      </c>
      <c r="F477" t="s">
        <v>115</v>
      </c>
      <c r="G477" t="s">
        <v>38</v>
      </c>
      <c r="H477">
        <v>2028</v>
      </c>
      <c r="I477">
        <v>1.5764149631389359</v>
      </c>
    </row>
    <row r="478" spans="1:9">
      <c r="A478">
        <v>1</v>
      </c>
      <c r="B478">
        <v>3</v>
      </c>
      <c r="C478" t="s">
        <v>85</v>
      </c>
      <c r="D478" t="s">
        <v>114</v>
      </c>
      <c r="E478" t="s">
        <v>25</v>
      </c>
      <c r="F478" t="s">
        <v>115</v>
      </c>
      <c r="G478" t="s">
        <v>38</v>
      </c>
      <c r="H478">
        <v>2029</v>
      </c>
      <c r="I478">
        <v>1.1036042978273368</v>
      </c>
    </row>
    <row r="479" spans="1:9">
      <c r="A479">
        <v>1</v>
      </c>
      <c r="B479">
        <v>3</v>
      </c>
      <c r="C479" t="s">
        <v>85</v>
      </c>
      <c r="D479" t="s">
        <v>114</v>
      </c>
      <c r="E479" t="s">
        <v>25</v>
      </c>
      <c r="F479" t="s">
        <v>115</v>
      </c>
      <c r="G479" t="s">
        <v>38</v>
      </c>
      <c r="H479">
        <v>2030</v>
      </c>
      <c r="I479">
        <v>1.4373747834248092</v>
      </c>
    </row>
    <row r="480" spans="1:9">
      <c r="A480">
        <v>1</v>
      </c>
      <c r="B480">
        <v>3</v>
      </c>
      <c r="C480" t="s">
        <v>85</v>
      </c>
      <c r="D480" t="s">
        <v>114</v>
      </c>
      <c r="E480" t="s">
        <v>25</v>
      </c>
      <c r="F480" t="s">
        <v>115</v>
      </c>
      <c r="G480" t="s">
        <v>38</v>
      </c>
      <c r="H480">
        <v>2031</v>
      </c>
      <c r="I480">
        <v>1.3428875964618918</v>
      </c>
    </row>
    <row r="481" spans="1:9">
      <c r="A481">
        <v>1</v>
      </c>
      <c r="B481">
        <v>3</v>
      </c>
      <c r="C481" t="s">
        <v>85</v>
      </c>
      <c r="D481" t="s">
        <v>114</v>
      </c>
      <c r="E481" t="s">
        <v>25</v>
      </c>
      <c r="F481" t="s">
        <v>115</v>
      </c>
      <c r="G481" t="s">
        <v>38</v>
      </c>
      <c r="H481">
        <v>2032</v>
      </c>
      <c r="I481">
        <v>1.467188165373456</v>
      </c>
    </row>
    <row r="482" spans="1:9">
      <c r="A482">
        <v>1</v>
      </c>
      <c r="B482">
        <v>3</v>
      </c>
      <c r="C482" t="s">
        <v>85</v>
      </c>
      <c r="D482" t="s">
        <v>114</v>
      </c>
      <c r="E482" t="s">
        <v>25</v>
      </c>
      <c r="F482" t="s">
        <v>116</v>
      </c>
      <c r="G482" t="s">
        <v>37</v>
      </c>
      <c r="H482">
        <v>2018</v>
      </c>
      <c r="I482">
        <v>1.0294897875182829</v>
      </c>
    </row>
    <row r="483" spans="1:9">
      <c r="A483">
        <v>1</v>
      </c>
      <c r="B483">
        <v>3</v>
      </c>
      <c r="C483" t="s">
        <v>85</v>
      </c>
      <c r="D483" t="s">
        <v>114</v>
      </c>
      <c r="E483" t="s">
        <v>25</v>
      </c>
      <c r="F483" t="s">
        <v>116</v>
      </c>
      <c r="G483" t="s">
        <v>37</v>
      </c>
      <c r="H483">
        <v>2019</v>
      </c>
      <c r="I483">
        <v>0.925391793042047</v>
      </c>
    </row>
    <row r="484" spans="1:9">
      <c r="A484">
        <v>1</v>
      </c>
      <c r="B484">
        <v>3</v>
      </c>
      <c r="C484" t="s">
        <v>85</v>
      </c>
      <c r="D484" t="s">
        <v>114</v>
      </c>
      <c r="E484" t="s">
        <v>25</v>
      </c>
      <c r="F484" t="s">
        <v>116</v>
      </c>
      <c r="G484" t="s">
        <v>37</v>
      </c>
      <c r="H484">
        <v>2020</v>
      </c>
      <c r="I484">
        <v>0.68764084418512772</v>
      </c>
    </row>
    <row r="485" spans="1:9">
      <c r="A485">
        <v>1</v>
      </c>
      <c r="B485">
        <v>3</v>
      </c>
      <c r="C485" t="s">
        <v>85</v>
      </c>
      <c r="D485" t="s">
        <v>114</v>
      </c>
      <c r="E485" t="s">
        <v>25</v>
      </c>
      <c r="F485" t="s">
        <v>116</v>
      </c>
      <c r="G485" t="s">
        <v>37</v>
      </c>
      <c r="H485">
        <v>2021</v>
      </c>
      <c r="I485">
        <v>0.87282161590198193</v>
      </c>
    </row>
    <row r="486" spans="1:9">
      <c r="A486">
        <v>1</v>
      </c>
      <c r="B486">
        <v>3</v>
      </c>
      <c r="C486" t="s">
        <v>85</v>
      </c>
      <c r="D486" t="s">
        <v>114</v>
      </c>
      <c r="E486" t="s">
        <v>25</v>
      </c>
      <c r="F486" t="s">
        <v>116</v>
      </c>
      <c r="G486" t="s">
        <v>37</v>
      </c>
      <c r="H486">
        <v>2022</v>
      </c>
      <c r="I486">
        <v>1.2597159719261382</v>
      </c>
    </row>
    <row r="487" spans="1:9">
      <c r="A487">
        <v>1</v>
      </c>
      <c r="B487">
        <v>3</v>
      </c>
      <c r="C487" t="s">
        <v>85</v>
      </c>
      <c r="D487" t="s">
        <v>114</v>
      </c>
      <c r="E487" t="s">
        <v>25</v>
      </c>
      <c r="F487" t="s">
        <v>116</v>
      </c>
      <c r="G487" t="s">
        <v>37</v>
      </c>
      <c r="H487">
        <v>2023</v>
      </c>
      <c r="I487">
        <v>1.1815695098541952</v>
      </c>
    </row>
    <row r="488" spans="1:9">
      <c r="A488">
        <v>1</v>
      </c>
      <c r="B488">
        <v>3</v>
      </c>
      <c r="C488" t="s">
        <v>85</v>
      </c>
      <c r="D488" t="s">
        <v>114</v>
      </c>
      <c r="E488" t="s">
        <v>25</v>
      </c>
      <c r="F488" t="s">
        <v>116</v>
      </c>
      <c r="G488" t="s">
        <v>37</v>
      </c>
      <c r="H488">
        <v>2024</v>
      </c>
      <c r="I488">
        <v>1.4515908443755303</v>
      </c>
    </row>
    <row r="489" spans="1:9">
      <c r="A489">
        <v>1</v>
      </c>
      <c r="B489">
        <v>3</v>
      </c>
      <c r="C489" t="s">
        <v>85</v>
      </c>
      <c r="D489" t="s">
        <v>114</v>
      </c>
      <c r="E489" t="s">
        <v>25</v>
      </c>
      <c r="F489" t="s">
        <v>116</v>
      </c>
      <c r="G489" t="s">
        <v>37</v>
      </c>
      <c r="H489">
        <v>2025</v>
      </c>
      <c r="I489">
        <v>1.5208840557996099</v>
      </c>
    </row>
    <row r="490" spans="1:9">
      <c r="A490">
        <v>1</v>
      </c>
      <c r="B490">
        <v>3</v>
      </c>
      <c r="C490" t="s">
        <v>85</v>
      </c>
      <c r="D490" t="s">
        <v>114</v>
      </c>
      <c r="E490" t="s">
        <v>25</v>
      </c>
      <c r="F490" t="s">
        <v>116</v>
      </c>
      <c r="G490" t="s">
        <v>37</v>
      </c>
      <c r="H490">
        <v>2026</v>
      </c>
      <c r="I490">
        <v>1.133067954767434</v>
      </c>
    </row>
    <row r="491" spans="1:9">
      <c r="A491">
        <v>1</v>
      </c>
      <c r="B491">
        <v>3</v>
      </c>
      <c r="C491" t="s">
        <v>85</v>
      </c>
      <c r="D491" t="s">
        <v>114</v>
      </c>
      <c r="E491" t="s">
        <v>25</v>
      </c>
      <c r="F491" t="s">
        <v>116</v>
      </c>
      <c r="G491" t="s">
        <v>37</v>
      </c>
      <c r="H491">
        <v>2027</v>
      </c>
      <c r="I491">
        <v>0.96260502444252394</v>
      </c>
    </row>
    <row r="492" spans="1:9">
      <c r="A492">
        <v>1</v>
      </c>
      <c r="B492">
        <v>3</v>
      </c>
      <c r="C492" t="s">
        <v>85</v>
      </c>
      <c r="D492" t="s">
        <v>114</v>
      </c>
      <c r="E492" t="s">
        <v>25</v>
      </c>
      <c r="F492" t="s">
        <v>116</v>
      </c>
      <c r="G492" t="s">
        <v>37</v>
      </c>
      <c r="H492">
        <v>2028</v>
      </c>
      <c r="I492">
        <v>1.6120258162069974</v>
      </c>
    </row>
    <row r="493" spans="1:9">
      <c r="A493">
        <v>1</v>
      </c>
      <c r="B493">
        <v>3</v>
      </c>
      <c r="C493" t="s">
        <v>85</v>
      </c>
      <c r="D493" t="s">
        <v>114</v>
      </c>
      <c r="E493" t="s">
        <v>25</v>
      </c>
      <c r="F493" t="s">
        <v>116</v>
      </c>
      <c r="G493" t="s">
        <v>37</v>
      </c>
      <c r="H493">
        <v>2029</v>
      </c>
      <c r="I493">
        <v>1.072725144315438</v>
      </c>
    </row>
    <row r="494" spans="1:9">
      <c r="A494">
        <v>1</v>
      </c>
      <c r="B494">
        <v>3</v>
      </c>
      <c r="C494" t="s">
        <v>85</v>
      </c>
      <c r="D494" t="s">
        <v>114</v>
      </c>
      <c r="E494" t="s">
        <v>25</v>
      </c>
      <c r="F494" t="s">
        <v>116</v>
      </c>
      <c r="G494" t="s">
        <v>37</v>
      </c>
      <c r="H494">
        <v>2030</v>
      </c>
      <c r="I494">
        <v>0.9451262668330036</v>
      </c>
    </row>
    <row r="495" spans="1:9">
      <c r="A495">
        <v>1</v>
      </c>
      <c r="B495">
        <v>3</v>
      </c>
      <c r="C495" t="s">
        <v>85</v>
      </c>
      <c r="D495" t="s">
        <v>114</v>
      </c>
      <c r="E495" t="s">
        <v>25</v>
      </c>
      <c r="F495" t="s">
        <v>116</v>
      </c>
      <c r="G495" t="s">
        <v>37</v>
      </c>
      <c r="H495">
        <v>2031</v>
      </c>
      <c r="I495">
        <v>1.5737193341372442</v>
      </c>
    </row>
    <row r="496" spans="1:9">
      <c r="A496">
        <v>1</v>
      </c>
      <c r="B496">
        <v>3</v>
      </c>
      <c r="C496" t="s">
        <v>85</v>
      </c>
      <c r="D496" t="s">
        <v>114</v>
      </c>
      <c r="E496" t="s">
        <v>25</v>
      </c>
      <c r="F496" t="s">
        <v>116</v>
      </c>
      <c r="G496" t="s">
        <v>37</v>
      </c>
      <c r="H496">
        <v>2032</v>
      </c>
      <c r="I496">
        <v>1.2484325464070463</v>
      </c>
    </row>
    <row r="497" spans="1:9">
      <c r="A497">
        <v>1</v>
      </c>
      <c r="B497">
        <v>3</v>
      </c>
      <c r="C497" t="s">
        <v>85</v>
      </c>
      <c r="D497" t="s">
        <v>114</v>
      </c>
      <c r="E497" t="s">
        <v>25</v>
      </c>
      <c r="F497" t="s">
        <v>116</v>
      </c>
      <c r="G497" t="s">
        <v>38</v>
      </c>
      <c r="H497">
        <v>2018</v>
      </c>
      <c r="I497">
        <v>0.5095165250940954</v>
      </c>
    </row>
    <row r="498" spans="1:9">
      <c r="A498">
        <v>1</v>
      </c>
      <c r="B498">
        <v>3</v>
      </c>
      <c r="C498" t="s">
        <v>85</v>
      </c>
      <c r="D498" t="s">
        <v>114</v>
      </c>
      <c r="E498" t="s">
        <v>25</v>
      </c>
      <c r="F498" t="s">
        <v>116</v>
      </c>
      <c r="G498" t="s">
        <v>38</v>
      </c>
      <c r="H498">
        <v>2019</v>
      </c>
      <c r="I498">
        <v>0.28979298474536747</v>
      </c>
    </row>
    <row r="499" spans="1:9">
      <c r="A499">
        <v>1</v>
      </c>
      <c r="B499">
        <v>3</v>
      </c>
      <c r="C499" t="s">
        <v>85</v>
      </c>
      <c r="D499" t="s">
        <v>114</v>
      </c>
      <c r="E499" t="s">
        <v>25</v>
      </c>
      <c r="F499" t="s">
        <v>116</v>
      </c>
      <c r="G499" t="s">
        <v>38</v>
      </c>
      <c r="H499">
        <v>2020</v>
      </c>
      <c r="I499">
        <v>0.46187052544871077</v>
      </c>
    </row>
    <row r="500" spans="1:9">
      <c r="A500">
        <v>1</v>
      </c>
      <c r="B500">
        <v>3</v>
      </c>
      <c r="C500" t="s">
        <v>85</v>
      </c>
      <c r="D500" t="s">
        <v>114</v>
      </c>
      <c r="E500" t="s">
        <v>25</v>
      </c>
      <c r="F500" t="s">
        <v>116</v>
      </c>
      <c r="G500" t="s">
        <v>38</v>
      </c>
      <c r="H500">
        <v>2021</v>
      </c>
      <c r="I500">
        <v>0.55869405151003404</v>
      </c>
    </row>
    <row r="501" spans="1:9">
      <c r="A501">
        <v>1</v>
      </c>
      <c r="B501">
        <v>3</v>
      </c>
      <c r="C501" t="s">
        <v>85</v>
      </c>
      <c r="D501" t="s">
        <v>114</v>
      </c>
      <c r="E501" t="s">
        <v>25</v>
      </c>
      <c r="F501" t="s">
        <v>116</v>
      </c>
      <c r="G501" t="s">
        <v>38</v>
      </c>
      <c r="H501">
        <v>2022</v>
      </c>
      <c r="I501">
        <v>0.42826481914767184</v>
      </c>
    </row>
    <row r="502" spans="1:9">
      <c r="A502">
        <v>1</v>
      </c>
      <c r="B502">
        <v>3</v>
      </c>
      <c r="C502" t="s">
        <v>85</v>
      </c>
      <c r="D502" t="s">
        <v>114</v>
      </c>
      <c r="E502" t="s">
        <v>25</v>
      </c>
      <c r="F502" t="s">
        <v>116</v>
      </c>
      <c r="G502" t="s">
        <v>38</v>
      </c>
      <c r="H502">
        <v>2023</v>
      </c>
      <c r="I502">
        <v>0.35672716631062978</v>
      </c>
    </row>
    <row r="503" spans="1:9">
      <c r="A503">
        <v>1</v>
      </c>
      <c r="B503">
        <v>3</v>
      </c>
      <c r="C503" t="s">
        <v>85</v>
      </c>
      <c r="D503" t="s">
        <v>114</v>
      </c>
      <c r="E503" t="s">
        <v>25</v>
      </c>
      <c r="F503" t="s">
        <v>116</v>
      </c>
      <c r="G503" t="s">
        <v>38</v>
      </c>
      <c r="H503">
        <v>2024</v>
      </c>
      <c r="I503">
        <v>0.75820128656780073</v>
      </c>
    </row>
    <row r="504" spans="1:9">
      <c r="A504">
        <v>1</v>
      </c>
      <c r="B504">
        <v>3</v>
      </c>
      <c r="C504" t="s">
        <v>85</v>
      </c>
      <c r="D504" t="s">
        <v>114</v>
      </c>
      <c r="E504" t="s">
        <v>25</v>
      </c>
      <c r="F504" t="s">
        <v>116</v>
      </c>
      <c r="G504" t="s">
        <v>38</v>
      </c>
      <c r="H504">
        <v>2025</v>
      </c>
      <c r="I504">
        <v>0.56557098732993216</v>
      </c>
    </row>
    <row r="505" spans="1:9">
      <c r="A505">
        <v>1</v>
      </c>
      <c r="B505">
        <v>3</v>
      </c>
      <c r="C505" t="s">
        <v>85</v>
      </c>
      <c r="D505" t="s">
        <v>114</v>
      </c>
      <c r="E505" t="s">
        <v>25</v>
      </c>
      <c r="F505" t="s">
        <v>116</v>
      </c>
      <c r="G505" t="s">
        <v>38</v>
      </c>
      <c r="H505">
        <v>2026</v>
      </c>
      <c r="I505">
        <v>0.76983151915690029</v>
      </c>
    </row>
    <row r="506" spans="1:9">
      <c r="A506">
        <v>1</v>
      </c>
      <c r="B506">
        <v>3</v>
      </c>
      <c r="C506" t="s">
        <v>85</v>
      </c>
      <c r="D506" t="s">
        <v>114</v>
      </c>
      <c r="E506" t="s">
        <v>25</v>
      </c>
      <c r="F506" t="s">
        <v>116</v>
      </c>
      <c r="G506" t="s">
        <v>38</v>
      </c>
      <c r="H506">
        <v>2027</v>
      </c>
      <c r="I506">
        <v>0.60302161946442645</v>
      </c>
    </row>
    <row r="507" spans="1:9">
      <c r="A507">
        <v>1</v>
      </c>
      <c r="B507">
        <v>3</v>
      </c>
      <c r="C507" t="s">
        <v>85</v>
      </c>
      <c r="D507" t="s">
        <v>114</v>
      </c>
      <c r="E507" t="s">
        <v>25</v>
      </c>
      <c r="F507" t="s">
        <v>116</v>
      </c>
      <c r="G507" t="s">
        <v>38</v>
      </c>
      <c r="H507">
        <v>2028</v>
      </c>
      <c r="I507">
        <v>0.91257991838790731</v>
      </c>
    </row>
    <row r="508" spans="1:9">
      <c r="A508">
        <v>1</v>
      </c>
      <c r="B508">
        <v>3</v>
      </c>
      <c r="C508" t="s">
        <v>85</v>
      </c>
      <c r="D508" t="s">
        <v>114</v>
      </c>
      <c r="E508" t="s">
        <v>25</v>
      </c>
      <c r="F508" t="s">
        <v>116</v>
      </c>
      <c r="G508" t="s">
        <v>38</v>
      </c>
      <c r="H508">
        <v>2029</v>
      </c>
      <c r="I508">
        <v>0.70547249118385424</v>
      </c>
    </row>
    <row r="509" spans="1:9">
      <c r="A509">
        <v>1</v>
      </c>
      <c r="B509">
        <v>3</v>
      </c>
      <c r="C509" t="s">
        <v>85</v>
      </c>
      <c r="D509" t="s">
        <v>114</v>
      </c>
      <c r="E509" t="s">
        <v>25</v>
      </c>
      <c r="F509" t="s">
        <v>116</v>
      </c>
      <c r="G509" t="s">
        <v>38</v>
      </c>
      <c r="H509">
        <v>2030</v>
      </c>
      <c r="I509">
        <v>0.90105156267773512</v>
      </c>
    </row>
    <row r="510" spans="1:9">
      <c r="A510">
        <v>1</v>
      </c>
      <c r="B510">
        <v>3</v>
      </c>
      <c r="C510" t="s">
        <v>85</v>
      </c>
      <c r="D510" t="s">
        <v>114</v>
      </c>
      <c r="E510" t="s">
        <v>25</v>
      </c>
      <c r="F510" t="s">
        <v>116</v>
      </c>
      <c r="G510" t="s">
        <v>38</v>
      </c>
      <c r="H510">
        <v>2031</v>
      </c>
      <c r="I510">
        <v>0.70270479104572325</v>
      </c>
    </row>
    <row r="511" spans="1:9">
      <c r="A511">
        <v>1</v>
      </c>
      <c r="B511">
        <v>3</v>
      </c>
      <c r="C511" t="s">
        <v>85</v>
      </c>
      <c r="D511" t="s">
        <v>114</v>
      </c>
      <c r="E511" t="s">
        <v>25</v>
      </c>
      <c r="F511" t="s">
        <v>116</v>
      </c>
      <c r="G511" t="s">
        <v>38</v>
      </c>
      <c r="H511">
        <v>2032</v>
      </c>
      <c r="I511">
        <v>0.67901055519422848</v>
      </c>
    </row>
    <row r="512" spans="1:9">
      <c r="A512">
        <v>1</v>
      </c>
      <c r="B512">
        <v>3</v>
      </c>
      <c r="C512" t="s">
        <v>85</v>
      </c>
      <c r="D512" t="s">
        <v>114</v>
      </c>
      <c r="E512" t="s">
        <v>25</v>
      </c>
      <c r="F512" t="s">
        <v>117</v>
      </c>
      <c r="G512" t="s">
        <v>37</v>
      </c>
      <c r="H512">
        <v>2018</v>
      </c>
      <c r="I512">
        <v>2.0836158660853723</v>
      </c>
    </row>
    <row r="513" spans="1:9">
      <c r="A513">
        <v>1</v>
      </c>
      <c r="B513">
        <v>3</v>
      </c>
      <c r="C513" t="s">
        <v>85</v>
      </c>
      <c r="D513" t="s">
        <v>114</v>
      </c>
      <c r="E513" t="s">
        <v>25</v>
      </c>
      <c r="F513" t="s">
        <v>117</v>
      </c>
      <c r="G513" t="s">
        <v>37</v>
      </c>
      <c r="H513">
        <v>2019</v>
      </c>
      <c r="I513">
        <v>1.2949058993077764</v>
      </c>
    </row>
    <row r="514" spans="1:9">
      <c r="A514">
        <v>1</v>
      </c>
      <c r="B514">
        <v>3</v>
      </c>
      <c r="C514" t="s">
        <v>85</v>
      </c>
      <c r="D514" t="s">
        <v>114</v>
      </c>
      <c r="E514" t="s">
        <v>25</v>
      </c>
      <c r="F514" t="s">
        <v>117</v>
      </c>
      <c r="G514" t="s">
        <v>37</v>
      </c>
      <c r="H514">
        <v>2020</v>
      </c>
      <c r="I514">
        <v>1.6890714954821924</v>
      </c>
    </row>
    <row r="515" spans="1:9">
      <c r="A515">
        <v>1</v>
      </c>
      <c r="B515">
        <v>3</v>
      </c>
      <c r="C515" t="s">
        <v>85</v>
      </c>
      <c r="D515" t="s">
        <v>114</v>
      </c>
      <c r="E515" t="s">
        <v>25</v>
      </c>
      <c r="F515" t="s">
        <v>117</v>
      </c>
      <c r="G515" t="s">
        <v>37</v>
      </c>
      <c r="H515">
        <v>2021</v>
      </c>
      <c r="I515">
        <v>2.4819913379216958</v>
      </c>
    </row>
    <row r="516" spans="1:9">
      <c r="A516">
        <v>1</v>
      </c>
      <c r="B516">
        <v>3</v>
      </c>
      <c r="C516" t="s">
        <v>85</v>
      </c>
      <c r="D516" t="s">
        <v>114</v>
      </c>
      <c r="E516" t="s">
        <v>25</v>
      </c>
      <c r="F516" t="s">
        <v>117</v>
      </c>
      <c r="G516" t="s">
        <v>37</v>
      </c>
      <c r="H516">
        <v>2022</v>
      </c>
      <c r="I516">
        <v>2.5946120264985635</v>
      </c>
    </row>
    <row r="517" spans="1:9">
      <c r="A517">
        <v>1</v>
      </c>
      <c r="B517">
        <v>3</v>
      </c>
      <c r="C517" t="s">
        <v>85</v>
      </c>
      <c r="D517" t="s">
        <v>114</v>
      </c>
      <c r="E517" t="s">
        <v>25</v>
      </c>
      <c r="F517" t="s">
        <v>117</v>
      </c>
      <c r="G517" t="s">
        <v>37</v>
      </c>
      <c r="H517">
        <v>2023</v>
      </c>
      <c r="I517">
        <v>1.9097010643236592</v>
      </c>
    </row>
    <row r="518" spans="1:9">
      <c r="A518">
        <v>1</v>
      </c>
      <c r="B518">
        <v>3</v>
      </c>
      <c r="C518" t="s">
        <v>85</v>
      </c>
      <c r="D518" t="s">
        <v>114</v>
      </c>
      <c r="E518" t="s">
        <v>25</v>
      </c>
      <c r="F518" t="s">
        <v>117</v>
      </c>
      <c r="G518" t="s">
        <v>37</v>
      </c>
      <c r="H518">
        <v>2024</v>
      </c>
      <c r="I518">
        <v>2.388378659778132</v>
      </c>
    </row>
    <row r="519" spans="1:9">
      <c r="A519">
        <v>1</v>
      </c>
      <c r="B519">
        <v>3</v>
      </c>
      <c r="C519" t="s">
        <v>85</v>
      </c>
      <c r="D519" t="s">
        <v>114</v>
      </c>
      <c r="E519" t="s">
        <v>25</v>
      </c>
      <c r="F519" t="s">
        <v>117</v>
      </c>
      <c r="G519" t="s">
        <v>37</v>
      </c>
      <c r="H519">
        <v>2025</v>
      </c>
      <c r="I519">
        <v>2.3110615775736116</v>
      </c>
    </row>
    <row r="520" spans="1:9">
      <c r="A520">
        <v>1</v>
      </c>
      <c r="B520">
        <v>3</v>
      </c>
      <c r="C520" t="s">
        <v>85</v>
      </c>
      <c r="D520" t="s">
        <v>114</v>
      </c>
      <c r="E520" t="s">
        <v>25</v>
      </c>
      <c r="F520" t="s">
        <v>117</v>
      </c>
      <c r="G520" t="s">
        <v>37</v>
      </c>
      <c r="H520">
        <v>2026</v>
      </c>
      <c r="I520">
        <v>1.7144990518849434</v>
      </c>
    </row>
    <row r="521" spans="1:9">
      <c r="A521">
        <v>1</v>
      </c>
      <c r="B521">
        <v>3</v>
      </c>
      <c r="C521" t="s">
        <v>85</v>
      </c>
      <c r="D521" t="s">
        <v>114</v>
      </c>
      <c r="E521" t="s">
        <v>25</v>
      </c>
      <c r="F521" t="s">
        <v>117</v>
      </c>
      <c r="G521" t="s">
        <v>37</v>
      </c>
      <c r="H521">
        <v>2027</v>
      </c>
      <c r="I521">
        <v>1.7211045485360266</v>
      </c>
    </row>
    <row r="522" spans="1:9">
      <c r="A522">
        <v>1</v>
      </c>
      <c r="B522">
        <v>3</v>
      </c>
      <c r="C522" t="s">
        <v>85</v>
      </c>
      <c r="D522" t="s">
        <v>114</v>
      </c>
      <c r="E522" t="s">
        <v>25</v>
      </c>
      <c r="F522" t="s">
        <v>117</v>
      </c>
      <c r="G522" t="s">
        <v>37</v>
      </c>
      <c r="H522">
        <v>2028</v>
      </c>
      <c r="I522">
        <v>3.4846369152673944</v>
      </c>
    </row>
    <row r="523" spans="1:9">
      <c r="A523">
        <v>1</v>
      </c>
      <c r="B523">
        <v>3</v>
      </c>
      <c r="C523" t="s">
        <v>85</v>
      </c>
      <c r="D523" t="s">
        <v>114</v>
      </c>
      <c r="E523" t="s">
        <v>25</v>
      </c>
      <c r="F523" t="s">
        <v>117</v>
      </c>
      <c r="G523" t="s">
        <v>37</v>
      </c>
      <c r="H523">
        <v>2029</v>
      </c>
      <c r="I523">
        <v>3.3127024794208069</v>
      </c>
    </row>
    <row r="524" spans="1:9">
      <c r="A524">
        <v>1</v>
      </c>
      <c r="B524">
        <v>3</v>
      </c>
      <c r="C524" t="s">
        <v>85</v>
      </c>
      <c r="D524" t="s">
        <v>114</v>
      </c>
      <c r="E524" t="s">
        <v>25</v>
      </c>
      <c r="F524" t="s">
        <v>117</v>
      </c>
      <c r="G524" t="s">
        <v>37</v>
      </c>
      <c r="H524">
        <v>2030</v>
      </c>
      <c r="I524">
        <v>3.2922170897197249</v>
      </c>
    </row>
    <row r="525" spans="1:9">
      <c r="A525">
        <v>1</v>
      </c>
      <c r="B525">
        <v>3</v>
      </c>
      <c r="C525" t="s">
        <v>85</v>
      </c>
      <c r="D525" t="s">
        <v>114</v>
      </c>
      <c r="E525" t="s">
        <v>25</v>
      </c>
      <c r="F525" t="s">
        <v>117</v>
      </c>
      <c r="G525" t="s">
        <v>37</v>
      </c>
      <c r="H525">
        <v>2031</v>
      </c>
      <c r="I525">
        <v>2.740616867852347</v>
      </c>
    </row>
    <row r="526" spans="1:9">
      <c r="A526">
        <v>1</v>
      </c>
      <c r="B526">
        <v>3</v>
      </c>
      <c r="C526" t="s">
        <v>85</v>
      </c>
      <c r="D526" t="s">
        <v>114</v>
      </c>
      <c r="E526" t="s">
        <v>25</v>
      </c>
      <c r="F526" t="s">
        <v>117</v>
      </c>
      <c r="G526" t="s">
        <v>37</v>
      </c>
      <c r="H526">
        <v>2032</v>
      </c>
      <c r="I526">
        <v>3.9181290717970034</v>
      </c>
    </row>
    <row r="527" spans="1:9">
      <c r="A527">
        <v>1</v>
      </c>
      <c r="B527">
        <v>3</v>
      </c>
      <c r="C527" t="s">
        <v>85</v>
      </c>
      <c r="D527" t="s">
        <v>114</v>
      </c>
      <c r="E527" t="s">
        <v>25</v>
      </c>
      <c r="F527" t="s">
        <v>117</v>
      </c>
      <c r="G527" t="s">
        <v>38</v>
      </c>
      <c r="H527">
        <v>2018</v>
      </c>
      <c r="I527">
        <v>1.0994924238049824</v>
      </c>
    </row>
    <row r="528" spans="1:9">
      <c r="A528">
        <v>1</v>
      </c>
      <c r="B528">
        <v>3</v>
      </c>
      <c r="C528" t="s">
        <v>85</v>
      </c>
      <c r="D528" t="s">
        <v>114</v>
      </c>
      <c r="E528" t="s">
        <v>25</v>
      </c>
      <c r="F528" t="s">
        <v>117</v>
      </c>
      <c r="G528" t="s">
        <v>38</v>
      </c>
      <c r="H528">
        <v>2019</v>
      </c>
      <c r="I528">
        <v>0.86744545154115116</v>
      </c>
    </row>
    <row r="529" spans="1:9">
      <c r="A529">
        <v>1</v>
      </c>
      <c r="B529">
        <v>3</v>
      </c>
      <c r="C529" t="s">
        <v>85</v>
      </c>
      <c r="D529" t="s">
        <v>114</v>
      </c>
      <c r="E529" t="s">
        <v>25</v>
      </c>
      <c r="F529" t="s">
        <v>117</v>
      </c>
      <c r="G529" t="s">
        <v>38</v>
      </c>
      <c r="H529">
        <v>2020</v>
      </c>
      <c r="I529">
        <v>0.81242932300703863</v>
      </c>
    </row>
    <row r="530" spans="1:9">
      <c r="A530">
        <v>1</v>
      </c>
      <c r="B530">
        <v>3</v>
      </c>
      <c r="C530" t="s">
        <v>85</v>
      </c>
      <c r="D530" t="s">
        <v>114</v>
      </c>
      <c r="E530" t="s">
        <v>25</v>
      </c>
      <c r="F530" t="s">
        <v>117</v>
      </c>
      <c r="G530" t="s">
        <v>38</v>
      </c>
      <c r="H530">
        <v>2021</v>
      </c>
      <c r="I530">
        <v>0.74285264099065684</v>
      </c>
    </row>
    <row r="531" spans="1:9">
      <c r="A531">
        <v>1</v>
      </c>
      <c r="B531">
        <v>3</v>
      </c>
      <c r="C531" t="s">
        <v>85</v>
      </c>
      <c r="D531" t="s">
        <v>114</v>
      </c>
      <c r="E531" t="s">
        <v>25</v>
      </c>
      <c r="F531" t="s">
        <v>117</v>
      </c>
      <c r="G531" t="s">
        <v>38</v>
      </c>
      <c r="H531">
        <v>2022</v>
      </c>
      <c r="I531">
        <v>0.9431531379166217</v>
      </c>
    </row>
    <row r="532" spans="1:9">
      <c r="A532">
        <v>1</v>
      </c>
      <c r="B532">
        <v>3</v>
      </c>
      <c r="C532" t="s">
        <v>85</v>
      </c>
      <c r="D532" t="s">
        <v>114</v>
      </c>
      <c r="E532" t="s">
        <v>25</v>
      </c>
      <c r="F532" t="s">
        <v>117</v>
      </c>
      <c r="G532" t="s">
        <v>38</v>
      </c>
      <c r="H532">
        <v>2023</v>
      </c>
      <c r="I532">
        <v>1.3687747991184658</v>
      </c>
    </row>
    <row r="533" spans="1:9">
      <c r="A533">
        <v>1</v>
      </c>
      <c r="B533">
        <v>3</v>
      </c>
      <c r="C533" t="s">
        <v>85</v>
      </c>
      <c r="D533" t="s">
        <v>114</v>
      </c>
      <c r="E533" t="s">
        <v>25</v>
      </c>
      <c r="F533" t="s">
        <v>117</v>
      </c>
      <c r="G533" t="s">
        <v>38</v>
      </c>
      <c r="H533">
        <v>2024</v>
      </c>
      <c r="I533">
        <v>0.94098235990228707</v>
      </c>
    </row>
    <row r="534" spans="1:9">
      <c r="A534">
        <v>1</v>
      </c>
      <c r="B534">
        <v>3</v>
      </c>
      <c r="C534" t="s">
        <v>85</v>
      </c>
      <c r="D534" t="s">
        <v>114</v>
      </c>
      <c r="E534" t="s">
        <v>25</v>
      </c>
      <c r="F534" t="s">
        <v>117</v>
      </c>
      <c r="G534" t="s">
        <v>38</v>
      </c>
      <c r="H534">
        <v>2025</v>
      </c>
      <c r="I534">
        <v>1.6235178365531855</v>
      </c>
    </row>
    <row r="535" spans="1:9">
      <c r="A535">
        <v>1</v>
      </c>
      <c r="B535">
        <v>3</v>
      </c>
      <c r="C535" t="s">
        <v>85</v>
      </c>
      <c r="D535" t="s">
        <v>114</v>
      </c>
      <c r="E535" t="s">
        <v>25</v>
      </c>
      <c r="F535" t="s">
        <v>117</v>
      </c>
      <c r="G535" t="s">
        <v>38</v>
      </c>
      <c r="H535">
        <v>2026</v>
      </c>
      <c r="I535">
        <v>0.89089932616942513</v>
      </c>
    </row>
    <row r="536" spans="1:9">
      <c r="A536">
        <v>1</v>
      </c>
      <c r="B536">
        <v>3</v>
      </c>
      <c r="C536" t="s">
        <v>85</v>
      </c>
      <c r="D536" t="s">
        <v>114</v>
      </c>
      <c r="E536" t="s">
        <v>25</v>
      </c>
      <c r="F536" t="s">
        <v>117</v>
      </c>
      <c r="G536" t="s">
        <v>38</v>
      </c>
      <c r="H536">
        <v>2027</v>
      </c>
      <c r="I536">
        <v>1.5832504000175036</v>
      </c>
    </row>
    <row r="537" spans="1:9">
      <c r="A537">
        <v>1</v>
      </c>
      <c r="B537">
        <v>3</v>
      </c>
      <c r="C537" t="s">
        <v>85</v>
      </c>
      <c r="D537" t="s">
        <v>114</v>
      </c>
      <c r="E537" t="s">
        <v>25</v>
      </c>
      <c r="F537" t="s">
        <v>117</v>
      </c>
      <c r="G537" t="s">
        <v>38</v>
      </c>
      <c r="H537">
        <v>2028</v>
      </c>
      <c r="I537">
        <v>1.1458675897255051</v>
      </c>
    </row>
    <row r="538" spans="1:9">
      <c r="A538">
        <v>1</v>
      </c>
      <c r="B538">
        <v>3</v>
      </c>
      <c r="C538" t="s">
        <v>85</v>
      </c>
      <c r="D538" t="s">
        <v>114</v>
      </c>
      <c r="E538" t="s">
        <v>25</v>
      </c>
      <c r="F538" t="s">
        <v>117</v>
      </c>
      <c r="G538" t="s">
        <v>38</v>
      </c>
      <c r="H538">
        <v>2029</v>
      </c>
      <c r="I538">
        <v>1.2531553591090687</v>
      </c>
    </row>
    <row r="539" spans="1:9">
      <c r="A539">
        <v>1</v>
      </c>
      <c r="B539">
        <v>3</v>
      </c>
      <c r="C539" t="s">
        <v>85</v>
      </c>
      <c r="D539" t="s">
        <v>114</v>
      </c>
      <c r="E539" t="s">
        <v>25</v>
      </c>
      <c r="F539" t="s">
        <v>117</v>
      </c>
      <c r="G539" t="s">
        <v>38</v>
      </c>
      <c r="H539">
        <v>2030</v>
      </c>
      <c r="I539">
        <v>1.6115787215544208</v>
      </c>
    </row>
    <row r="540" spans="1:9">
      <c r="A540">
        <v>1</v>
      </c>
      <c r="B540">
        <v>3</v>
      </c>
      <c r="C540" t="s">
        <v>85</v>
      </c>
      <c r="D540" t="s">
        <v>114</v>
      </c>
      <c r="E540" t="s">
        <v>25</v>
      </c>
      <c r="F540" t="s">
        <v>117</v>
      </c>
      <c r="G540" t="s">
        <v>38</v>
      </c>
      <c r="H540">
        <v>2031</v>
      </c>
      <c r="I540">
        <v>1.2417797290551302</v>
      </c>
    </row>
    <row r="541" spans="1:9">
      <c r="A541">
        <v>1</v>
      </c>
      <c r="B541">
        <v>3</v>
      </c>
      <c r="C541" t="s">
        <v>85</v>
      </c>
      <c r="D541" t="s">
        <v>114</v>
      </c>
      <c r="E541" t="s">
        <v>25</v>
      </c>
      <c r="F541" t="s">
        <v>117</v>
      </c>
      <c r="G541" t="s">
        <v>38</v>
      </c>
      <c r="H541">
        <v>2032</v>
      </c>
      <c r="I541">
        <v>1.8705569138975475</v>
      </c>
    </row>
    <row r="542" spans="1:9">
      <c r="A542">
        <v>1</v>
      </c>
      <c r="B542">
        <v>4</v>
      </c>
      <c r="C542" t="s">
        <v>86</v>
      </c>
      <c r="D542" t="s">
        <v>113</v>
      </c>
      <c r="E542" t="s">
        <v>20</v>
      </c>
      <c r="F542" t="s">
        <v>30</v>
      </c>
      <c r="G542" t="s">
        <v>37</v>
      </c>
      <c r="H542">
        <v>2018</v>
      </c>
      <c r="I542">
        <v>1.9191076740984541</v>
      </c>
    </row>
    <row r="543" spans="1:9">
      <c r="A543">
        <v>1</v>
      </c>
      <c r="B543">
        <v>4</v>
      </c>
      <c r="C543" t="s">
        <v>86</v>
      </c>
      <c r="D543" t="s">
        <v>113</v>
      </c>
      <c r="E543" t="s">
        <v>20</v>
      </c>
      <c r="F543" t="s">
        <v>30</v>
      </c>
      <c r="G543" t="s">
        <v>37</v>
      </c>
      <c r="H543">
        <v>2019</v>
      </c>
      <c r="I543">
        <v>1.3191797057279859</v>
      </c>
    </row>
    <row r="544" spans="1:9">
      <c r="A544">
        <v>1</v>
      </c>
      <c r="B544">
        <v>4</v>
      </c>
      <c r="C544" t="s">
        <v>86</v>
      </c>
      <c r="D544" t="s">
        <v>113</v>
      </c>
      <c r="E544" t="s">
        <v>20</v>
      </c>
      <c r="F544" t="s">
        <v>30</v>
      </c>
      <c r="G544" t="s">
        <v>37</v>
      </c>
      <c r="H544">
        <v>2020</v>
      </c>
      <c r="I544">
        <v>1.3614200869173643</v>
      </c>
    </row>
    <row r="545" spans="1:9">
      <c r="A545">
        <v>1</v>
      </c>
      <c r="B545">
        <v>4</v>
      </c>
      <c r="C545" t="s">
        <v>86</v>
      </c>
      <c r="D545" t="s">
        <v>113</v>
      </c>
      <c r="E545" t="s">
        <v>20</v>
      </c>
      <c r="F545" t="s">
        <v>30</v>
      </c>
      <c r="G545" t="s">
        <v>37</v>
      </c>
      <c r="H545">
        <v>2021</v>
      </c>
      <c r="I545">
        <v>2.0594003802042384</v>
      </c>
    </row>
    <row r="546" spans="1:9">
      <c r="A546">
        <v>1</v>
      </c>
      <c r="B546">
        <v>4</v>
      </c>
      <c r="C546" t="s">
        <v>86</v>
      </c>
      <c r="D546" t="s">
        <v>113</v>
      </c>
      <c r="E546" t="s">
        <v>20</v>
      </c>
      <c r="F546" t="s">
        <v>30</v>
      </c>
      <c r="G546" t="s">
        <v>37</v>
      </c>
      <c r="H546">
        <v>2022</v>
      </c>
      <c r="I546">
        <v>2.0595691502025355</v>
      </c>
    </row>
    <row r="547" spans="1:9">
      <c r="A547">
        <v>1</v>
      </c>
      <c r="B547">
        <v>4</v>
      </c>
      <c r="C547" t="s">
        <v>86</v>
      </c>
      <c r="D547" t="s">
        <v>113</v>
      </c>
      <c r="E547" t="s">
        <v>20</v>
      </c>
      <c r="F547" t="s">
        <v>30</v>
      </c>
      <c r="G547" t="s">
        <v>37</v>
      </c>
      <c r="H547">
        <v>2023</v>
      </c>
      <c r="I547">
        <v>2.5780256242046096</v>
      </c>
    </row>
    <row r="548" spans="1:9">
      <c r="A548">
        <v>1</v>
      </c>
      <c r="B548">
        <v>4</v>
      </c>
      <c r="C548" t="s">
        <v>86</v>
      </c>
      <c r="D548" t="s">
        <v>113</v>
      </c>
      <c r="E548" t="s">
        <v>20</v>
      </c>
      <c r="F548" t="s">
        <v>30</v>
      </c>
      <c r="G548" t="s">
        <v>37</v>
      </c>
      <c r="H548">
        <v>2024</v>
      </c>
      <c r="I548">
        <v>1.8077007580546478</v>
      </c>
    </row>
    <row r="549" spans="1:9">
      <c r="A549">
        <v>1</v>
      </c>
      <c r="B549">
        <v>4</v>
      </c>
      <c r="C549" t="s">
        <v>86</v>
      </c>
      <c r="D549" t="s">
        <v>113</v>
      </c>
      <c r="E549" t="s">
        <v>20</v>
      </c>
      <c r="F549" t="s">
        <v>30</v>
      </c>
      <c r="G549" t="s">
        <v>37</v>
      </c>
      <c r="H549">
        <v>2025</v>
      </c>
      <c r="I549">
        <v>2.4685323159355366</v>
      </c>
    </row>
    <row r="550" spans="1:9">
      <c r="A550">
        <v>1</v>
      </c>
      <c r="B550">
        <v>4</v>
      </c>
      <c r="C550" t="s">
        <v>86</v>
      </c>
      <c r="D550" t="s">
        <v>113</v>
      </c>
      <c r="E550" t="s">
        <v>20</v>
      </c>
      <c r="F550" t="s">
        <v>30</v>
      </c>
      <c r="G550" t="s">
        <v>37</v>
      </c>
      <c r="H550">
        <v>2026</v>
      </c>
      <c r="I550">
        <v>3.1298416126745687</v>
      </c>
    </row>
    <row r="551" spans="1:9">
      <c r="A551">
        <v>1</v>
      </c>
      <c r="B551">
        <v>4</v>
      </c>
      <c r="C551" t="s">
        <v>86</v>
      </c>
      <c r="D551" t="s">
        <v>113</v>
      </c>
      <c r="E551" t="s">
        <v>20</v>
      </c>
      <c r="F551" t="s">
        <v>30</v>
      </c>
      <c r="G551" t="s">
        <v>37</v>
      </c>
      <c r="H551">
        <v>2027</v>
      </c>
      <c r="I551">
        <v>2.451306613872025</v>
      </c>
    </row>
    <row r="552" spans="1:9">
      <c r="A552">
        <v>1</v>
      </c>
      <c r="B552">
        <v>4</v>
      </c>
      <c r="C552" t="s">
        <v>86</v>
      </c>
      <c r="D552" t="s">
        <v>113</v>
      </c>
      <c r="E552" t="s">
        <v>20</v>
      </c>
      <c r="F552" t="s">
        <v>30</v>
      </c>
      <c r="G552" t="s">
        <v>37</v>
      </c>
      <c r="H552">
        <v>2028</v>
      </c>
      <c r="I552">
        <v>2.1803523231360509</v>
      </c>
    </row>
    <row r="553" spans="1:9">
      <c r="A553">
        <v>1</v>
      </c>
      <c r="B553">
        <v>4</v>
      </c>
      <c r="C553" t="s">
        <v>86</v>
      </c>
      <c r="D553" t="s">
        <v>113</v>
      </c>
      <c r="E553" t="s">
        <v>20</v>
      </c>
      <c r="F553" t="s">
        <v>30</v>
      </c>
      <c r="G553" t="s">
        <v>37</v>
      </c>
      <c r="H553">
        <v>2029</v>
      </c>
      <c r="I553">
        <v>3.5878745093794837</v>
      </c>
    </row>
    <row r="554" spans="1:9">
      <c r="A554">
        <v>1</v>
      </c>
      <c r="B554">
        <v>4</v>
      </c>
      <c r="C554" t="s">
        <v>86</v>
      </c>
      <c r="D554" t="s">
        <v>113</v>
      </c>
      <c r="E554" t="s">
        <v>20</v>
      </c>
      <c r="F554" t="s">
        <v>30</v>
      </c>
      <c r="G554" t="s">
        <v>37</v>
      </c>
      <c r="H554">
        <v>2030</v>
      </c>
      <c r="I554">
        <v>2.9549879200675009</v>
      </c>
    </row>
    <row r="555" spans="1:9">
      <c r="A555">
        <v>1</v>
      </c>
      <c r="B555">
        <v>4</v>
      </c>
      <c r="C555" t="s">
        <v>86</v>
      </c>
      <c r="D555" t="s">
        <v>113</v>
      </c>
      <c r="E555" t="s">
        <v>20</v>
      </c>
      <c r="F555" t="s">
        <v>30</v>
      </c>
      <c r="G555" t="s">
        <v>37</v>
      </c>
      <c r="H555">
        <v>2031</v>
      </c>
      <c r="I555">
        <v>3.7036587230186999</v>
      </c>
    </row>
    <row r="556" spans="1:9">
      <c r="A556">
        <v>1</v>
      </c>
      <c r="B556">
        <v>4</v>
      </c>
      <c r="C556" t="s">
        <v>86</v>
      </c>
      <c r="D556" t="s">
        <v>113</v>
      </c>
      <c r="E556" t="s">
        <v>20</v>
      </c>
      <c r="F556" t="s">
        <v>30</v>
      </c>
      <c r="G556" t="s">
        <v>37</v>
      </c>
      <c r="H556">
        <v>2032</v>
      </c>
      <c r="I556">
        <v>2.5307914683642743</v>
      </c>
    </row>
    <row r="557" spans="1:9">
      <c r="A557">
        <v>1</v>
      </c>
      <c r="B557">
        <v>4</v>
      </c>
      <c r="C557" t="s">
        <v>86</v>
      </c>
      <c r="D557" t="s">
        <v>113</v>
      </c>
      <c r="E557" t="s">
        <v>20</v>
      </c>
      <c r="F557" t="s">
        <v>30</v>
      </c>
      <c r="G557" t="s">
        <v>38</v>
      </c>
      <c r="H557">
        <v>2018</v>
      </c>
      <c r="I557">
        <v>0.77396352563530901</v>
      </c>
    </row>
    <row r="558" spans="1:9">
      <c r="A558">
        <v>1</v>
      </c>
      <c r="B558">
        <v>4</v>
      </c>
      <c r="C558" t="s">
        <v>86</v>
      </c>
      <c r="D558" t="s">
        <v>113</v>
      </c>
      <c r="E558" t="s">
        <v>20</v>
      </c>
      <c r="F558" t="s">
        <v>30</v>
      </c>
      <c r="G558" t="s">
        <v>38</v>
      </c>
      <c r="H558">
        <v>2019</v>
      </c>
      <c r="I558">
        <v>1.0504900920099614</v>
      </c>
    </row>
    <row r="559" spans="1:9">
      <c r="A559">
        <v>1</v>
      </c>
      <c r="B559">
        <v>4</v>
      </c>
      <c r="C559" t="s">
        <v>86</v>
      </c>
      <c r="D559" t="s">
        <v>113</v>
      </c>
      <c r="E559" t="s">
        <v>20</v>
      </c>
      <c r="F559" t="s">
        <v>30</v>
      </c>
      <c r="G559" t="s">
        <v>38</v>
      </c>
      <c r="H559">
        <v>2020</v>
      </c>
      <c r="I559">
        <v>0.8355897087923454</v>
      </c>
    </row>
    <row r="560" spans="1:9">
      <c r="A560">
        <v>1</v>
      </c>
      <c r="B560">
        <v>4</v>
      </c>
      <c r="C560" t="s">
        <v>86</v>
      </c>
      <c r="D560" t="s">
        <v>113</v>
      </c>
      <c r="E560" t="s">
        <v>20</v>
      </c>
      <c r="F560" t="s">
        <v>30</v>
      </c>
      <c r="G560" t="s">
        <v>38</v>
      </c>
      <c r="H560">
        <v>2021</v>
      </c>
      <c r="I560">
        <v>1.0838323284842939</v>
      </c>
    </row>
    <row r="561" spans="1:9">
      <c r="A561">
        <v>1</v>
      </c>
      <c r="B561">
        <v>4</v>
      </c>
      <c r="C561" t="s">
        <v>86</v>
      </c>
      <c r="D561" t="s">
        <v>113</v>
      </c>
      <c r="E561" t="s">
        <v>20</v>
      </c>
      <c r="F561" t="s">
        <v>30</v>
      </c>
      <c r="G561" t="s">
        <v>38</v>
      </c>
      <c r="H561">
        <v>2022</v>
      </c>
      <c r="I561">
        <v>1.2213605220628869</v>
      </c>
    </row>
    <row r="562" spans="1:9">
      <c r="A562">
        <v>1</v>
      </c>
      <c r="B562">
        <v>4</v>
      </c>
      <c r="C562" t="s">
        <v>86</v>
      </c>
      <c r="D562" t="s">
        <v>113</v>
      </c>
      <c r="E562" t="s">
        <v>20</v>
      </c>
      <c r="F562" t="s">
        <v>30</v>
      </c>
      <c r="G562" t="s">
        <v>38</v>
      </c>
      <c r="H562">
        <v>2023</v>
      </c>
      <c r="I562">
        <v>1.432585752708385</v>
      </c>
    </row>
    <row r="563" spans="1:9">
      <c r="A563">
        <v>1</v>
      </c>
      <c r="B563">
        <v>4</v>
      </c>
      <c r="C563" t="s">
        <v>86</v>
      </c>
      <c r="D563" t="s">
        <v>113</v>
      </c>
      <c r="E563" t="s">
        <v>20</v>
      </c>
      <c r="F563" t="s">
        <v>30</v>
      </c>
      <c r="G563" t="s">
        <v>38</v>
      </c>
      <c r="H563">
        <v>2024</v>
      </c>
      <c r="I563">
        <v>1.547777089447532</v>
      </c>
    </row>
    <row r="564" spans="1:9">
      <c r="A564">
        <v>1</v>
      </c>
      <c r="B564">
        <v>4</v>
      </c>
      <c r="C564" t="s">
        <v>86</v>
      </c>
      <c r="D564" t="s">
        <v>113</v>
      </c>
      <c r="E564" t="s">
        <v>20</v>
      </c>
      <c r="F564" t="s">
        <v>30</v>
      </c>
      <c r="G564" t="s">
        <v>38</v>
      </c>
      <c r="H564">
        <v>2025</v>
      </c>
      <c r="I564">
        <v>1.048355344080766</v>
      </c>
    </row>
    <row r="565" spans="1:9">
      <c r="A565">
        <v>1</v>
      </c>
      <c r="B565">
        <v>4</v>
      </c>
      <c r="C565" t="s">
        <v>86</v>
      </c>
      <c r="D565" t="s">
        <v>113</v>
      </c>
      <c r="E565" t="s">
        <v>20</v>
      </c>
      <c r="F565" t="s">
        <v>30</v>
      </c>
      <c r="G565" t="s">
        <v>38</v>
      </c>
      <c r="H565">
        <v>2026</v>
      </c>
      <c r="I565">
        <v>1.08611929264399</v>
      </c>
    </row>
    <row r="566" spans="1:9">
      <c r="A566">
        <v>1</v>
      </c>
      <c r="B566">
        <v>4</v>
      </c>
      <c r="C566" t="s">
        <v>86</v>
      </c>
      <c r="D566" t="s">
        <v>113</v>
      </c>
      <c r="E566" t="s">
        <v>20</v>
      </c>
      <c r="F566" t="s">
        <v>30</v>
      </c>
      <c r="G566" t="s">
        <v>38</v>
      </c>
      <c r="H566">
        <v>2027</v>
      </c>
      <c r="I566">
        <v>1.6440447951448767</v>
      </c>
    </row>
    <row r="567" spans="1:9">
      <c r="A567">
        <v>1</v>
      </c>
      <c r="B567">
        <v>4</v>
      </c>
      <c r="C567" t="s">
        <v>86</v>
      </c>
      <c r="D567" t="s">
        <v>113</v>
      </c>
      <c r="E567" t="s">
        <v>20</v>
      </c>
      <c r="F567" t="s">
        <v>30</v>
      </c>
      <c r="G567" t="s">
        <v>38</v>
      </c>
      <c r="H567">
        <v>2028</v>
      </c>
      <c r="I567">
        <v>1.8681299985918991</v>
      </c>
    </row>
    <row r="568" spans="1:9">
      <c r="A568">
        <v>1</v>
      </c>
      <c r="B568">
        <v>4</v>
      </c>
      <c r="C568" t="s">
        <v>86</v>
      </c>
      <c r="D568" t="s">
        <v>113</v>
      </c>
      <c r="E568" t="s">
        <v>20</v>
      </c>
      <c r="F568" t="s">
        <v>30</v>
      </c>
      <c r="G568" t="s">
        <v>38</v>
      </c>
      <c r="H568">
        <v>2029</v>
      </c>
      <c r="I568">
        <v>1.4226279307411289</v>
      </c>
    </row>
    <row r="569" spans="1:9">
      <c r="A569">
        <v>1</v>
      </c>
      <c r="B569">
        <v>4</v>
      </c>
      <c r="C569" t="s">
        <v>86</v>
      </c>
      <c r="D569" t="s">
        <v>113</v>
      </c>
      <c r="E569" t="s">
        <v>20</v>
      </c>
      <c r="F569" t="s">
        <v>30</v>
      </c>
      <c r="G569" t="s">
        <v>38</v>
      </c>
      <c r="H569">
        <v>2030</v>
      </c>
      <c r="I569">
        <v>1.0554500553307828</v>
      </c>
    </row>
    <row r="570" spans="1:9">
      <c r="A570">
        <v>1</v>
      </c>
      <c r="B570">
        <v>4</v>
      </c>
      <c r="C570" t="s">
        <v>86</v>
      </c>
      <c r="D570" t="s">
        <v>113</v>
      </c>
      <c r="E570" t="s">
        <v>20</v>
      </c>
      <c r="F570" t="s">
        <v>30</v>
      </c>
      <c r="G570" t="s">
        <v>38</v>
      </c>
      <c r="H570">
        <v>2031</v>
      </c>
      <c r="I570">
        <v>1.0378116106466964</v>
      </c>
    </row>
    <row r="571" spans="1:9">
      <c r="A571">
        <v>1</v>
      </c>
      <c r="B571">
        <v>4</v>
      </c>
      <c r="C571" t="s">
        <v>86</v>
      </c>
      <c r="D571" t="s">
        <v>113</v>
      </c>
      <c r="E571" t="s">
        <v>20</v>
      </c>
      <c r="F571" t="s">
        <v>30</v>
      </c>
      <c r="G571" t="s">
        <v>38</v>
      </c>
      <c r="H571">
        <v>2032</v>
      </c>
      <c r="I571">
        <v>1.8088176694928868</v>
      </c>
    </row>
    <row r="572" spans="1:9">
      <c r="A572">
        <v>1</v>
      </c>
      <c r="B572">
        <v>4</v>
      </c>
      <c r="C572" t="s">
        <v>86</v>
      </c>
      <c r="D572" t="s">
        <v>113</v>
      </c>
      <c r="E572" t="s">
        <v>20</v>
      </c>
      <c r="F572" t="s">
        <v>31</v>
      </c>
      <c r="G572" t="s">
        <v>37</v>
      </c>
      <c r="H572">
        <v>2018</v>
      </c>
      <c r="I572">
        <v>0.98279827308802115</v>
      </c>
    </row>
    <row r="573" spans="1:9">
      <c r="A573">
        <v>1</v>
      </c>
      <c r="B573">
        <v>4</v>
      </c>
      <c r="C573" t="s">
        <v>86</v>
      </c>
      <c r="D573" t="s">
        <v>113</v>
      </c>
      <c r="E573" t="s">
        <v>20</v>
      </c>
      <c r="F573" t="s">
        <v>31</v>
      </c>
      <c r="G573" t="s">
        <v>37</v>
      </c>
      <c r="H573">
        <v>2019</v>
      </c>
      <c r="I573">
        <v>0.90227335096360151</v>
      </c>
    </row>
    <row r="574" spans="1:9">
      <c r="A574">
        <v>1</v>
      </c>
      <c r="B574">
        <v>4</v>
      </c>
      <c r="C574" t="s">
        <v>86</v>
      </c>
      <c r="D574" t="s">
        <v>113</v>
      </c>
      <c r="E574" t="s">
        <v>20</v>
      </c>
      <c r="F574" t="s">
        <v>31</v>
      </c>
      <c r="G574" t="s">
        <v>37</v>
      </c>
      <c r="H574">
        <v>2020</v>
      </c>
      <c r="I574">
        <v>0.9918288789010693</v>
      </c>
    </row>
    <row r="575" spans="1:9">
      <c r="A575">
        <v>1</v>
      </c>
      <c r="B575">
        <v>4</v>
      </c>
      <c r="C575" t="s">
        <v>86</v>
      </c>
      <c r="D575" t="s">
        <v>113</v>
      </c>
      <c r="E575" t="s">
        <v>20</v>
      </c>
      <c r="F575" t="s">
        <v>31</v>
      </c>
      <c r="G575" t="s">
        <v>37</v>
      </c>
      <c r="H575">
        <v>2021</v>
      </c>
      <c r="I575">
        <v>1.3723197617347291</v>
      </c>
    </row>
    <row r="576" spans="1:9">
      <c r="A576">
        <v>1</v>
      </c>
      <c r="B576">
        <v>4</v>
      </c>
      <c r="C576" t="s">
        <v>86</v>
      </c>
      <c r="D576" t="s">
        <v>113</v>
      </c>
      <c r="E576" t="s">
        <v>20</v>
      </c>
      <c r="F576" t="s">
        <v>31</v>
      </c>
      <c r="G576" t="s">
        <v>37</v>
      </c>
      <c r="H576">
        <v>2022</v>
      </c>
      <c r="I576">
        <v>1.0924902155380236</v>
      </c>
    </row>
    <row r="577" spans="1:9">
      <c r="A577">
        <v>1</v>
      </c>
      <c r="B577">
        <v>4</v>
      </c>
      <c r="C577" t="s">
        <v>86</v>
      </c>
      <c r="D577" t="s">
        <v>113</v>
      </c>
      <c r="E577" t="s">
        <v>20</v>
      </c>
      <c r="F577" t="s">
        <v>31</v>
      </c>
      <c r="G577" t="s">
        <v>37</v>
      </c>
      <c r="H577">
        <v>2023</v>
      </c>
      <c r="I577">
        <v>0.70930622170267754</v>
      </c>
    </row>
    <row r="578" spans="1:9">
      <c r="A578">
        <v>1</v>
      </c>
      <c r="B578">
        <v>4</v>
      </c>
      <c r="C578" t="s">
        <v>86</v>
      </c>
      <c r="D578" t="s">
        <v>113</v>
      </c>
      <c r="E578" t="s">
        <v>20</v>
      </c>
      <c r="F578" t="s">
        <v>31</v>
      </c>
      <c r="G578" t="s">
        <v>37</v>
      </c>
      <c r="H578">
        <v>2024</v>
      </c>
      <c r="I578">
        <v>1.0777887173652121</v>
      </c>
    </row>
    <row r="579" spans="1:9">
      <c r="A579">
        <v>1</v>
      </c>
      <c r="B579">
        <v>4</v>
      </c>
      <c r="C579" t="s">
        <v>86</v>
      </c>
      <c r="D579" t="s">
        <v>113</v>
      </c>
      <c r="E579" t="s">
        <v>20</v>
      </c>
      <c r="F579" t="s">
        <v>31</v>
      </c>
      <c r="G579" t="s">
        <v>37</v>
      </c>
      <c r="H579">
        <v>2025</v>
      </c>
      <c r="I579">
        <v>0.89385560720543011</v>
      </c>
    </row>
    <row r="580" spans="1:9">
      <c r="A580">
        <v>1</v>
      </c>
      <c r="B580">
        <v>4</v>
      </c>
      <c r="C580" t="s">
        <v>86</v>
      </c>
      <c r="D580" t="s">
        <v>113</v>
      </c>
      <c r="E580" t="s">
        <v>20</v>
      </c>
      <c r="F580" t="s">
        <v>31</v>
      </c>
      <c r="G580" t="s">
        <v>37</v>
      </c>
      <c r="H580">
        <v>2026</v>
      </c>
      <c r="I580">
        <v>1.0315650159666334</v>
      </c>
    </row>
    <row r="581" spans="1:9">
      <c r="A581">
        <v>1</v>
      </c>
      <c r="B581">
        <v>4</v>
      </c>
      <c r="C581" t="s">
        <v>86</v>
      </c>
      <c r="D581" t="s">
        <v>113</v>
      </c>
      <c r="E581" t="s">
        <v>20</v>
      </c>
      <c r="F581" t="s">
        <v>31</v>
      </c>
      <c r="G581" t="s">
        <v>37</v>
      </c>
      <c r="H581">
        <v>2027</v>
      </c>
      <c r="I581">
        <v>1.3307537744544855</v>
      </c>
    </row>
    <row r="582" spans="1:9">
      <c r="A582">
        <v>1</v>
      </c>
      <c r="B582">
        <v>4</v>
      </c>
      <c r="C582" t="s">
        <v>86</v>
      </c>
      <c r="D582" t="s">
        <v>113</v>
      </c>
      <c r="E582" t="s">
        <v>20</v>
      </c>
      <c r="F582" t="s">
        <v>31</v>
      </c>
      <c r="G582" t="s">
        <v>37</v>
      </c>
      <c r="H582">
        <v>2028</v>
      </c>
      <c r="I582">
        <v>1.4610493298961678</v>
      </c>
    </row>
    <row r="583" spans="1:9">
      <c r="A583">
        <v>1</v>
      </c>
      <c r="B583">
        <v>4</v>
      </c>
      <c r="C583" t="s">
        <v>86</v>
      </c>
      <c r="D583" t="s">
        <v>113</v>
      </c>
      <c r="E583" t="s">
        <v>20</v>
      </c>
      <c r="F583" t="s">
        <v>31</v>
      </c>
      <c r="G583" t="s">
        <v>37</v>
      </c>
      <c r="H583">
        <v>2029</v>
      </c>
      <c r="I583">
        <v>1.6089831541569817</v>
      </c>
    </row>
    <row r="584" spans="1:9">
      <c r="A584">
        <v>1</v>
      </c>
      <c r="B584">
        <v>4</v>
      </c>
      <c r="C584" t="s">
        <v>86</v>
      </c>
      <c r="D584" t="s">
        <v>113</v>
      </c>
      <c r="E584" t="s">
        <v>20</v>
      </c>
      <c r="F584" t="s">
        <v>31</v>
      </c>
      <c r="G584" t="s">
        <v>37</v>
      </c>
      <c r="H584">
        <v>2030</v>
      </c>
      <c r="I584">
        <v>0.93749918687532308</v>
      </c>
    </row>
    <row r="585" spans="1:9">
      <c r="A585">
        <v>1</v>
      </c>
      <c r="B585">
        <v>4</v>
      </c>
      <c r="C585" t="s">
        <v>86</v>
      </c>
      <c r="D585" t="s">
        <v>113</v>
      </c>
      <c r="E585" t="s">
        <v>20</v>
      </c>
      <c r="F585" t="s">
        <v>31</v>
      </c>
      <c r="G585" t="s">
        <v>37</v>
      </c>
      <c r="H585">
        <v>2031</v>
      </c>
      <c r="I585">
        <v>1.7313274688039324</v>
      </c>
    </row>
    <row r="586" spans="1:9">
      <c r="A586">
        <v>1</v>
      </c>
      <c r="B586">
        <v>4</v>
      </c>
      <c r="C586" t="s">
        <v>86</v>
      </c>
      <c r="D586" t="s">
        <v>113</v>
      </c>
      <c r="E586" t="s">
        <v>20</v>
      </c>
      <c r="F586" t="s">
        <v>31</v>
      </c>
      <c r="G586" t="s">
        <v>37</v>
      </c>
      <c r="H586">
        <v>2032</v>
      </c>
      <c r="I586">
        <v>1.0589395252443778</v>
      </c>
    </row>
    <row r="587" spans="1:9">
      <c r="A587">
        <v>1</v>
      </c>
      <c r="B587">
        <v>4</v>
      </c>
      <c r="C587" t="s">
        <v>86</v>
      </c>
      <c r="D587" t="s">
        <v>113</v>
      </c>
      <c r="E587" t="s">
        <v>20</v>
      </c>
      <c r="F587" t="s">
        <v>31</v>
      </c>
      <c r="G587" t="s">
        <v>38</v>
      </c>
      <c r="H587">
        <v>2018</v>
      </c>
      <c r="I587">
        <v>0.38042296684678223</v>
      </c>
    </row>
    <row r="588" spans="1:9">
      <c r="A588">
        <v>1</v>
      </c>
      <c r="B588">
        <v>4</v>
      </c>
      <c r="C588" t="s">
        <v>86</v>
      </c>
      <c r="D588" t="s">
        <v>113</v>
      </c>
      <c r="E588" t="s">
        <v>20</v>
      </c>
      <c r="F588" t="s">
        <v>31</v>
      </c>
      <c r="G588" t="s">
        <v>38</v>
      </c>
      <c r="H588">
        <v>2019</v>
      </c>
      <c r="I588">
        <v>0.37277247540895625</v>
      </c>
    </row>
    <row r="589" spans="1:9">
      <c r="A589">
        <v>1</v>
      </c>
      <c r="B589">
        <v>4</v>
      </c>
      <c r="C589" t="s">
        <v>86</v>
      </c>
      <c r="D589" t="s">
        <v>113</v>
      </c>
      <c r="E589" t="s">
        <v>20</v>
      </c>
      <c r="F589" t="s">
        <v>31</v>
      </c>
      <c r="G589" t="s">
        <v>38</v>
      </c>
      <c r="H589">
        <v>2020</v>
      </c>
      <c r="I589">
        <v>0.5064273273917671</v>
      </c>
    </row>
    <row r="590" spans="1:9">
      <c r="A590">
        <v>1</v>
      </c>
      <c r="B590">
        <v>4</v>
      </c>
      <c r="C590" t="s">
        <v>86</v>
      </c>
      <c r="D590" t="s">
        <v>113</v>
      </c>
      <c r="E590" t="s">
        <v>20</v>
      </c>
      <c r="F590" t="s">
        <v>31</v>
      </c>
      <c r="G590" t="s">
        <v>38</v>
      </c>
      <c r="H590">
        <v>2021</v>
      </c>
      <c r="I590">
        <v>0.34863405960968513</v>
      </c>
    </row>
    <row r="591" spans="1:9">
      <c r="A591">
        <v>1</v>
      </c>
      <c r="B591">
        <v>4</v>
      </c>
      <c r="C591" t="s">
        <v>86</v>
      </c>
      <c r="D591" t="s">
        <v>113</v>
      </c>
      <c r="E591" t="s">
        <v>20</v>
      </c>
      <c r="F591" t="s">
        <v>31</v>
      </c>
      <c r="G591" t="s">
        <v>38</v>
      </c>
      <c r="H591">
        <v>2022</v>
      </c>
      <c r="I591">
        <v>0.35614167584524842</v>
      </c>
    </row>
    <row r="592" spans="1:9">
      <c r="A592">
        <v>1</v>
      </c>
      <c r="B592">
        <v>4</v>
      </c>
      <c r="C592" t="s">
        <v>86</v>
      </c>
      <c r="D592" t="s">
        <v>113</v>
      </c>
      <c r="E592" t="s">
        <v>20</v>
      </c>
      <c r="F592" t="s">
        <v>31</v>
      </c>
      <c r="G592" t="s">
        <v>38</v>
      </c>
      <c r="H592">
        <v>2023</v>
      </c>
      <c r="I592">
        <v>0.54942114959156629</v>
      </c>
    </row>
    <row r="593" spans="1:9">
      <c r="A593">
        <v>1</v>
      </c>
      <c r="B593">
        <v>4</v>
      </c>
      <c r="C593" t="s">
        <v>86</v>
      </c>
      <c r="D593" t="s">
        <v>113</v>
      </c>
      <c r="E593" t="s">
        <v>20</v>
      </c>
      <c r="F593" t="s">
        <v>31</v>
      </c>
      <c r="G593" t="s">
        <v>38</v>
      </c>
      <c r="H593">
        <v>2024</v>
      </c>
      <c r="I593">
        <v>0.59325598123112155</v>
      </c>
    </row>
    <row r="594" spans="1:9">
      <c r="A594">
        <v>1</v>
      </c>
      <c r="B594">
        <v>4</v>
      </c>
      <c r="C594" t="s">
        <v>86</v>
      </c>
      <c r="D594" t="s">
        <v>113</v>
      </c>
      <c r="E594" t="s">
        <v>20</v>
      </c>
      <c r="F594" t="s">
        <v>31</v>
      </c>
      <c r="G594" t="s">
        <v>38</v>
      </c>
      <c r="H594">
        <v>2025</v>
      </c>
      <c r="I594">
        <v>0.65485013304837691</v>
      </c>
    </row>
    <row r="595" spans="1:9">
      <c r="A595">
        <v>1</v>
      </c>
      <c r="B595">
        <v>4</v>
      </c>
      <c r="C595" t="s">
        <v>86</v>
      </c>
      <c r="D595" t="s">
        <v>113</v>
      </c>
      <c r="E595" t="s">
        <v>20</v>
      </c>
      <c r="F595" t="s">
        <v>31</v>
      </c>
      <c r="G595" t="s">
        <v>38</v>
      </c>
      <c r="H595">
        <v>2026</v>
      </c>
      <c r="I595">
        <v>0.75918268834543268</v>
      </c>
    </row>
    <row r="596" spans="1:9">
      <c r="A596">
        <v>1</v>
      </c>
      <c r="B596">
        <v>4</v>
      </c>
      <c r="C596" t="s">
        <v>86</v>
      </c>
      <c r="D596" t="s">
        <v>113</v>
      </c>
      <c r="E596" t="s">
        <v>20</v>
      </c>
      <c r="F596" t="s">
        <v>31</v>
      </c>
      <c r="G596" t="s">
        <v>38</v>
      </c>
      <c r="H596">
        <v>2027</v>
      </c>
      <c r="I596">
        <v>0.57482173847448237</v>
      </c>
    </row>
    <row r="597" spans="1:9">
      <c r="A597">
        <v>1</v>
      </c>
      <c r="B597">
        <v>4</v>
      </c>
      <c r="C597" t="s">
        <v>86</v>
      </c>
      <c r="D597" t="s">
        <v>113</v>
      </c>
      <c r="E597" t="s">
        <v>20</v>
      </c>
      <c r="F597" t="s">
        <v>31</v>
      </c>
      <c r="G597" t="s">
        <v>38</v>
      </c>
      <c r="H597">
        <v>2028</v>
      </c>
      <c r="I597">
        <v>0.50775096508150575</v>
      </c>
    </row>
    <row r="598" spans="1:9">
      <c r="A598">
        <v>1</v>
      </c>
      <c r="B598">
        <v>4</v>
      </c>
      <c r="C598" t="s">
        <v>86</v>
      </c>
      <c r="D598" t="s">
        <v>113</v>
      </c>
      <c r="E598" t="s">
        <v>20</v>
      </c>
      <c r="F598" t="s">
        <v>31</v>
      </c>
      <c r="G598" t="s">
        <v>38</v>
      </c>
      <c r="H598">
        <v>2029</v>
      </c>
      <c r="I598">
        <v>0.76780770181419689</v>
      </c>
    </row>
    <row r="599" spans="1:9">
      <c r="A599">
        <v>1</v>
      </c>
      <c r="B599">
        <v>4</v>
      </c>
      <c r="C599" t="s">
        <v>86</v>
      </c>
      <c r="D599" t="s">
        <v>113</v>
      </c>
      <c r="E599" t="s">
        <v>20</v>
      </c>
      <c r="F599" t="s">
        <v>31</v>
      </c>
      <c r="G599" t="s">
        <v>38</v>
      </c>
      <c r="H599">
        <v>2030</v>
      </c>
      <c r="I599">
        <v>0.65871479660311094</v>
      </c>
    </row>
    <row r="600" spans="1:9">
      <c r="A600">
        <v>1</v>
      </c>
      <c r="B600">
        <v>4</v>
      </c>
      <c r="C600" t="s">
        <v>86</v>
      </c>
      <c r="D600" t="s">
        <v>113</v>
      </c>
      <c r="E600" t="s">
        <v>20</v>
      </c>
      <c r="F600" t="s">
        <v>31</v>
      </c>
      <c r="G600" t="s">
        <v>38</v>
      </c>
      <c r="H600">
        <v>2031</v>
      </c>
      <c r="I600">
        <v>0.86409799727240899</v>
      </c>
    </row>
    <row r="601" spans="1:9">
      <c r="A601">
        <v>1</v>
      </c>
      <c r="B601">
        <v>4</v>
      </c>
      <c r="C601" t="s">
        <v>86</v>
      </c>
      <c r="D601" t="s">
        <v>113</v>
      </c>
      <c r="E601" t="s">
        <v>20</v>
      </c>
      <c r="F601" t="s">
        <v>31</v>
      </c>
      <c r="G601" t="s">
        <v>38</v>
      </c>
      <c r="H601">
        <v>2032</v>
      </c>
      <c r="I601">
        <v>0.96411964922881899</v>
      </c>
    </row>
    <row r="602" spans="1:9">
      <c r="A602">
        <v>1</v>
      </c>
      <c r="B602">
        <v>4</v>
      </c>
      <c r="C602" t="s">
        <v>86</v>
      </c>
      <c r="D602" t="s">
        <v>113</v>
      </c>
      <c r="E602" t="s">
        <v>23</v>
      </c>
      <c r="F602" t="s">
        <v>32</v>
      </c>
      <c r="G602" t="s">
        <v>37</v>
      </c>
      <c r="H602">
        <v>2018</v>
      </c>
      <c r="I602">
        <v>2.2965782759357163</v>
      </c>
    </row>
    <row r="603" spans="1:9">
      <c r="A603">
        <v>1</v>
      </c>
      <c r="B603">
        <v>4</v>
      </c>
      <c r="C603" t="s">
        <v>86</v>
      </c>
      <c r="D603" t="s">
        <v>113</v>
      </c>
      <c r="E603" t="s">
        <v>23</v>
      </c>
      <c r="F603" t="s">
        <v>32</v>
      </c>
      <c r="G603" t="s">
        <v>37</v>
      </c>
      <c r="H603">
        <v>2019</v>
      </c>
      <c r="I603">
        <v>2.210935589783309</v>
      </c>
    </row>
    <row r="604" spans="1:9">
      <c r="A604">
        <v>1</v>
      </c>
      <c r="B604">
        <v>4</v>
      </c>
      <c r="C604" t="s">
        <v>86</v>
      </c>
      <c r="D604" t="s">
        <v>113</v>
      </c>
      <c r="E604" t="s">
        <v>23</v>
      </c>
      <c r="F604" t="s">
        <v>32</v>
      </c>
      <c r="G604" t="s">
        <v>37</v>
      </c>
      <c r="H604">
        <v>2020</v>
      </c>
      <c r="I604">
        <v>2.1481713130189117</v>
      </c>
    </row>
    <row r="605" spans="1:9">
      <c r="A605">
        <v>1</v>
      </c>
      <c r="B605">
        <v>4</v>
      </c>
      <c r="C605" t="s">
        <v>86</v>
      </c>
      <c r="D605" t="s">
        <v>113</v>
      </c>
      <c r="E605" t="s">
        <v>23</v>
      </c>
      <c r="F605" t="s">
        <v>32</v>
      </c>
      <c r="G605" t="s">
        <v>37</v>
      </c>
      <c r="H605">
        <v>2021</v>
      </c>
      <c r="I605">
        <v>2.2162856927685999</v>
      </c>
    </row>
    <row r="606" spans="1:9">
      <c r="A606">
        <v>1</v>
      </c>
      <c r="B606">
        <v>4</v>
      </c>
      <c r="C606" t="s">
        <v>86</v>
      </c>
      <c r="D606" t="s">
        <v>113</v>
      </c>
      <c r="E606" t="s">
        <v>23</v>
      </c>
      <c r="F606" t="s">
        <v>32</v>
      </c>
      <c r="G606" t="s">
        <v>37</v>
      </c>
      <c r="H606">
        <v>2022</v>
      </c>
      <c r="I606">
        <v>2.7936362509857897</v>
      </c>
    </row>
    <row r="607" spans="1:9">
      <c r="A607">
        <v>1</v>
      </c>
      <c r="B607">
        <v>4</v>
      </c>
      <c r="C607" t="s">
        <v>86</v>
      </c>
      <c r="D607" t="s">
        <v>113</v>
      </c>
      <c r="E607" t="s">
        <v>23</v>
      </c>
      <c r="F607" t="s">
        <v>32</v>
      </c>
      <c r="G607" t="s">
        <v>37</v>
      </c>
      <c r="H607">
        <v>2023</v>
      </c>
      <c r="I607">
        <v>2.0003023452276931</v>
      </c>
    </row>
    <row r="608" spans="1:9">
      <c r="A608">
        <v>1</v>
      </c>
      <c r="B608">
        <v>4</v>
      </c>
      <c r="C608" t="s">
        <v>86</v>
      </c>
      <c r="D608" t="s">
        <v>113</v>
      </c>
      <c r="E608" t="s">
        <v>23</v>
      </c>
      <c r="F608" t="s">
        <v>32</v>
      </c>
      <c r="G608" t="s">
        <v>37</v>
      </c>
      <c r="H608">
        <v>2024</v>
      </c>
      <c r="I608">
        <v>3.1100487257132201</v>
      </c>
    </row>
    <row r="609" spans="1:9">
      <c r="A609">
        <v>1</v>
      </c>
      <c r="B609">
        <v>4</v>
      </c>
      <c r="C609" t="s">
        <v>86</v>
      </c>
      <c r="D609" t="s">
        <v>113</v>
      </c>
      <c r="E609" t="s">
        <v>23</v>
      </c>
      <c r="F609" t="s">
        <v>32</v>
      </c>
      <c r="G609" t="s">
        <v>37</v>
      </c>
      <c r="H609">
        <v>2025</v>
      </c>
      <c r="I609">
        <v>1.9102144189423758</v>
      </c>
    </row>
    <row r="610" spans="1:9">
      <c r="A610">
        <v>1</v>
      </c>
      <c r="B610">
        <v>4</v>
      </c>
      <c r="C610" t="s">
        <v>86</v>
      </c>
      <c r="D610" t="s">
        <v>113</v>
      </c>
      <c r="E610" t="s">
        <v>23</v>
      </c>
      <c r="F610" t="s">
        <v>32</v>
      </c>
      <c r="G610" t="s">
        <v>37</v>
      </c>
      <c r="H610">
        <v>2026</v>
      </c>
      <c r="I610">
        <v>2.4656240188468996</v>
      </c>
    </row>
    <row r="611" spans="1:9">
      <c r="A611">
        <v>1</v>
      </c>
      <c r="B611">
        <v>4</v>
      </c>
      <c r="C611" t="s">
        <v>86</v>
      </c>
      <c r="D611" t="s">
        <v>113</v>
      </c>
      <c r="E611" t="s">
        <v>23</v>
      </c>
      <c r="F611" t="s">
        <v>32</v>
      </c>
      <c r="G611" t="s">
        <v>37</v>
      </c>
      <c r="H611">
        <v>2027</v>
      </c>
      <c r="I611">
        <v>1.956915678008794</v>
      </c>
    </row>
    <row r="612" spans="1:9">
      <c r="A612">
        <v>1</v>
      </c>
      <c r="B612">
        <v>4</v>
      </c>
      <c r="C612" t="s">
        <v>86</v>
      </c>
      <c r="D612" t="s">
        <v>113</v>
      </c>
      <c r="E612" t="s">
        <v>23</v>
      </c>
      <c r="F612" t="s">
        <v>32</v>
      </c>
      <c r="G612" t="s">
        <v>37</v>
      </c>
      <c r="H612">
        <v>2028</v>
      </c>
      <c r="I612">
        <v>3.0581825144820582</v>
      </c>
    </row>
    <row r="613" spans="1:9">
      <c r="A613">
        <v>1</v>
      </c>
      <c r="B613">
        <v>4</v>
      </c>
      <c r="C613" t="s">
        <v>86</v>
      </c>
      <c r="D613" t="s">
        <v>113</v>
      </c>
      <c r="E613" t="s">
        <v>23</v>
      </c>
      <c r="F613" t="s">
        <v>32</v>
      </c>
      <c r="G613" t="s">
        <v>37</v>
      </c>
      <c r="H613">
        <v>2029</v>
      </c>
      <c r="I613">
        <v>2.171801962848416</v>
      </c>
    </row>
    <row r="614" spans="1:9">
      <c r="A614">
        <v>1</v>
      </c>
      <c r="B614">
        <v>4</v>
      </c>
      <c r="C614" t="s">
        <v>86</v>
      </c>
      <c r="D614" t="s">
        <v>113</v>
      </c>
      <c r="E614" t="s">
        <v>23</v>
      </c>
      <c r="F614" t="s">
        <v>32</v>
      </c>
      <c r="G614" t="s">
        <v>37</v>
      </c>
      <c r="H614">
        <v>2030</v>
      </c>
      <c r="I614">
        <v>2.8870907763360742</v>
      </c>
    </row>
    <row r="615" spans="1:9">
      <c r="A615">
        <v>1</v>
      </c>
      <c r="B615">
        <v>4</v>
      </c>
      <c r="C615" t="s">
        <v>86</v>
      </c>
      <c r="D615" t="s">
        <v>113</v>
      </c>
      <c r="E615" t="s">
        <v>23</v>
      </c>
      <c r="F615" t="s">
        <v>32</v>
      </c>
      <c r="G615" t="s">
        <v>37</v>
      </c>
      <c r="H615">
        <v>2031</v>
      </c>
      <c r="I615">
        <v>3.0762693855786489</v>
      </c>
    </row>
    <row r="616" spans="1:9">
      <c r="A616">
        <v>1</v>
      </c>
      <c r="B616">
        <v>4</v>
      </c>
      <c r="C616" t="s">
        <v>86</v>
      </c>
      <c r="D616" t="s">
        <v>113</v>
      </c>
      <c r="E616" t="s">
        <v>23</v>
      </c>
      <c r="F616" t="s">
        <v>32</v>
      </c>
      <c r="G616" t="s">
        <v>37</v>
      </c>
      <c r="H616">
        <v>2032</v>
      </c>
      <c r="I616">
        <v>2.7046884949028827</v>
      </c>
    </row>
    <row r="617" spans="1:9">
      <c r="A617">
        <v>1</v>
      </c>
      <c r="B617">
        <v>4</v>
      </c>
      <c r="C617" t="s">
        <v>86</v>
      </c>
      <c r="D617" t="s">
        <v>113</v>
      </c>
      <c r="E617" t="s">
        <v>23</v>
      </c>
      <c r="F617" t="s">
        <v>32</v>
      </c>
      <c r="G617" t="s">
        <v>38</v>
      </c>
      <c r="H617">
        <v>2018</v>
      </c>
      <c r="I617">
        <v>0.65729831096840796</v>
      </c>
    </row>
    <row r="618" spans="1:9">
      <c r="A618">
        <v>1</v>
      </c>
      <c r="B618">
        <v>4</v>
      </c>
      <c r="C618" t="s">
        <v>86</v>
      </c>
      <c r="D618" t="s">
        <v>113</v>
      </c>
      <c r="E618" t="s">
        <v>23</v>
      </c>
      <c r="F618" t="s">
        <v>32</v>
      </c>
      <c r="G618" t="s">
        <v>38</v>
      </c>
      <c r="H618">
        <v>2019</v>
      </c>
      <c r="I618">
        <v>0.65289515503208151</v>
      </c>
    </row>
    <row r="619" spans="1:9">
      <c r="A619">
        <v>1</v>
      </c>
      <c r="B619">
        <v>4</v>
      </c>
      <c r="C619" t="s">
        <v>86</v>
      </c>
      <c r="D619" t="s">
        <v>113</v>
      </c>
      <c r="E619" t="s">
        <v>23</v>
      </c>
      <c r="F619" t="s">
        <v>32</v>
      </c>
      <c r="G619" t="s">
        <v>38</v>
      </c>
      <c r="H619">
        <v>2020</v>
      </c>
      <c r="I619">
        <v>0.90248712036813283</v>
      </c>
    </row>
    <row r="620" spans="1:9">
      <c r="A620">
        <v>1</v>
      </c>
      <c r="B620">
        <v>4</v>
      </c>
      <c r="C620" t="s">
        <v>86</v>
      </c>
      <c r="D620" t="s">
        <v>113</v>
      </c>
      <c r="E620" t="s">
        <v>23</v>
      </c>
      <c r="F620" t="s">
        <v>32</v>
      </c>
      <c r="G620" t="s">
        <v>38</v>
      </c>
      <c r="H620">
        <v>2021</v>
      </c>
      <c r="I620">
        <v>0.80689252924699295</v>
      </c>
    </row>
    <row r="621" spans="1:9">
      <c r="A621">
        <v>1</v>
      </c>
      <c r="B621">
        <v>4</v>
      </c>
      <c r="C621" t="s">
        <v>86</v>
      </c>
      <c r="D621" t="s">
        <v>113</v>
      </c>
      <c r="E621" t="s">
        <v>23</v>
      </c>
      <c r="F621" t="s">
        <v>32</v>
      </c>
      <c r="G621" t="s">
        <v>38</v>
      </c>
      <c r="H621">
        <v>2022</v>
      </c>
      <c r="I621">
        <v>1.0174347101328278</v>
      </c>
    </row>
    <row r="622" spans="1:9">
      <c r="A622">
        <v>1</v>
      </c>
      <c r="B622">
        <v>4</v>
      </c>
      <c r="C622" t="s">
        <v>86</v>
      </c>
      <c r="D622" t="s">
        <v>113</v>
      </c>
      <c r="E622" t="s">
        <v>23</v>
      </c>
      <c r="F622" t="s">
        <v>32</v>
      </c>
      <c r="G622" t="s">
        <v>38</v>
      </c>
      <c r="H622">
        <v>2023</v>
      </c>
      <c r="I622">
        <v>1.1411403070910098</v>
      </c>
    </row>
    <row r="623" spans="1:9">
      <c r="A623">
        <v>1</v>
      </c>
      <c r="B623">
        <v>4</v>
      </c>
      <c r="C623" t="s">
        <v>86</v>
      </c>
      <c r="D623" t="s">
        <v>113</v>
      </c>
      <c r="E623" t="s">
        <v>23</v>
      </c>
      <c r="F623" t="s">
        <v>32</v>
      </c>
      <c r="G623" t="s">
        <v>38</v>
      </c>
      <c r="H623">
        <v>2024</v>
      </c>
      <c r="I623">
        <v>1.4557017746243157</v>
      </c>
    </row>
    <row r="624" spans="1:9">
      <c r="A624">
        <v>1</v>
      </c>
      <c r="B624">
        <v>4</v>
      </c>
      <c r="C624" t="s">
        <v>86</v>
      </c>
      <c r="D624" t="s">
        <v>113</v>
      </c>
      <c r="E624" t="s">
        <v>23</v>
      </c>
      <c r="F624" t="s">
        <v>32</v>
      </c>
      <c r="G624" t="s">
        <v>38</v>
      </c>
      <c r="H624">
        <v>2025</v>
      </c>
      <c r="I624">
        <v>0.87009667516011358</v>
      </c>
    </row>
    <row r="625" spans="1:9">
      <c r="A625">
        <v>1</v>
      </c>
      <c r="B625">
        <v>4</v>
      </c>
      <c r="C625" t="s">
        <v>86</v>
      </c>
      <c r="D625" t="s">
        <v>113</v>
      </c>
      <c r="E625" t="s">
        <v>23</v>
      </c>
      <c r="F625" t="s">
        <v>32</v>
      </c>
      <c r="G625" t="s">
        <v>38</v>
      </c>
      <c r="H625">
        <v>2026</v>
      </c>
      <c r="I625">
        <v>1.1573333690772079</v>
      </c>
    </row>
    <row r="626" spans="1:9">
      <c r="A626">
        <v>1</v>
      </c>
      <c r="B626">
        <v>4</v>
      </c>
      <c r="C626" t="s">
        <v>86</v>
      </c>
      <c r="D626" t="s">
        <v>113</v>
      </c>
      <c r="E626" t="s">
        <v>23</v>
      </c>
      <c r="F626" t="s">
        <v>32</v>
      </c>
      <c r="G626" t="s">
        <v>38</v>
      </c>
      <c r="H626">
        <v>2027</v>
      </c>
      <c r="I626">
        <v>0.93604230061640314</v>
      </c>
    </row>
    <row r="627" spans="1:9">
      <c r="A627">
        <v>1</v>
      </c>
      <c r="B627">
        <v>4</v>
      </c>
      <c r="C627" t="s">
        <v>86</v>
      </c>
      <c r="D627" t="s">
        <v>113</v>
      </c>
      <c r="E627" t="s">
        <v>23</v>
      </c>
      <c r="F627" t="s">
        <v>32</v>
      </c>
      <c r="G627" t="s">
        <v>38</v>
      </c>
      <c r="H627">
        <v>2028</v>
      </c>
      <c r="I627">
        <v>1.3301584347192799</v>
      </c>
    </row>
    <row r="628" spans="1:9">
      <c r="A628">
        <v>1</v>
      </c>
      <c r="B628">
        <v>4</v>
      </c>
      <c r="C628" t="s">
        <v>86</v>
      </c>
      <c r="D628" t="s">
        <v>113</v>
      </c>
      <c r="E628" t="s">
        <v>23</v>
      </c>
      <c r="F628" t="s">
        <v>32</v>
      </c>
      <c r="G628" t="s">
        <v>38</v>
      </c>
      <c r="H628">
        <v>2029</v>
      </c>
      <c r="I628">
        <v>1.1294938824542982</v>
      </c>
    </row>
    <row r="629" spans="1:9">
      <c r="A629">
        <v>1</v>
      </c>
      <c r="B629">
        <v>4</v>
      </c>
      <c r="C629" t="s">
        <v>86</v>
      </c>
      <c r="D629" t="s">
        <v>113</v>
      </c>
      <c r="E629" t="s">
        <v>23</v>
      </c>
      <c r="F629" t="s">
        <v>32</v>
      </c>
      <c r="G629" t="s">
        <v>38</v>
      </c>
      <c r="H629">
        <v>2030</v>
      </c>
      <c r="I629">
        <v>1.5309958032565156</v>
      </c>
    </row>
    <row r="630" spans="1:9">
      <c r="A630">
        <v>1</v>
      </c>
      <c r="B630">
        <v>4</v>
      </c>
      <c r="C630" t="s">
        <v>86</v>
      </c>
      <c r="D630" t="s">
        <v>113</v>
      </c>
      <c r="E630" t="s">
        <v>23</v>
      </c>
      <c r="F630" t="s">
        <v>32</v>
      </c>
      <c r="G630" t="s">
        <v>38</v>
      </c>
      <c r="H630">
        <v>2031</v>
      </c>
      <c r="I630">
        <v>1.6078064081872323</v>
      </c>
    </row>
    <row r="631" spans="1:9">
      <c r="A631">
        <v>1</v>
      </c>
      <c r="B631">
        <v>4</v>
      </c>
      <c r="C631" t="s">
        <v>86</v>
      </c>
      <c r="D631" t="s">
        <v>113</v>
      </c>
      <c r="E631" t="s">
        <v>23</v>
      </c>
      <c r="F631" t="s">
        <v>32</v>
      </c>
      <c r="G631" t="s">
        <v>38</v>
      </c>
      <c r="H631">
        <v>2032</v>
      </c>
      <c r="I631">
        <v>1.7557324205778968</v>
      </c>
    </row>
    <row r="632" spans="1:9">
      <c r="A632">
        <v>1</v>
      </c>
      <c r="B632">
        <v>4</v>
      </c>
      <c r="C632" t="s">
        <v>86</v>
      </c>
      <c r="D632" t="s">
        <v>114</v>
      </c>
      <c r="E632" t="s">
        <v>25</v>
      </c>
      <c r="F632" t="s">
        <v>115</v>
      </c>
      <c r="G632" t="s">
        <v>37</v>
      </c>
      <c r="H632">
        <v>2018</v>
      </c>
      <c r="I632">
        <v>1.3596898034542007</v>
      </c>
    </row>
    <row r="633" spans="1:9">
      <c r="A633">
        <v>1</v>
      </c>
      <c r="B633">
        <v>4</v>
      </c>
      <c r="C633" t="s">
        <v>86</v>
      </c>
      <c r="D633" t="s">
        <v>114</v>
      </c>
      <c r="E633" t="s">
        <v>25</v>
      </c>
      <c r="F633" t="s">
        <v>115</v>
      </c>
      <c r="G633" t="s">
        <v>37</v>
      </c>
      <c r="H633">
        <v>2019</v>
      </c>
      <c r="I633">
        <v>1.6016322994710299</v>
      </c>
    </row>
    <row r="634" spans="1:9">
      <c r="A634">
        <v>1</v>
      </c>
      <c r="B634">
        <v>4</v>
      </c>
      <c r="C634" t="s">
        <v>86</v>
      </c>
      <c r="D634" t="s">
        <v>114</v>
      </c>
      <c r="E634" t="s">
        <v>25</v>
      </c>
      <c r="F634" t="s">
        <v>115</v>
      </c>
      <c r="G634" t="s">
        <v>37</v>
      </c>
      <c r="H634">
        <v>2020</v>
      </c>
      <c r="I634">
        <v>2.3698473939352782</v>
      </c>
    </row>
    <row r="635" spans="1:9">
      <c r="A635">
        <v>1</v>
      </c>
      <c r="B635">
        <v>4</v>
      </c>
      <c r="C635" t="s">
        <v>86</v>
      </c>
      <c r="D635" t="s">
        <v>114</v>
      </c>
      <c r="E635" t="s">
        <v>25</v>
      </c>
      <c r="F635" t="s">
        <v>115</v>
      </c>
      <c r="G635" t="s">
        <v>37</v>
      </c>
      <c r="H635">
        <v>2021</v>
      </c>
      <c r="I635">
        <v>1.7470196618044722</v>
      </c>
    </row>
    <row r="636" spans="1:9">
      <c r="A636">
        <v>1</v>
      </c>
      <c r="B636">
        <v>4</v>
      </c>
      <c r="C636" t="s">
        <v>86</v>
      </c>
      <c r="D636" t="s">
        <v>114</v>
      </c>
      <c r="E636" t="s">
        <v>25</v>
      </c>
      <c r="F636" t="s">
        <v>115</v>
      </c>
      <c r="G636" t="s">
        <v>37</v>
      </c>
      <c r="H636">
        <v>2022</v>
      </c>
      <c r="I636">
        <v>1.8348728350046857</v>
      </c>
    </row>
    <row r="637" spans="1:9">
      <c r="A637">
        <v>1</v>
      </c>
      <c r="B637">
        <v>4</v>
      </c>
      <c r="C637" t="s">
        <v>86</v>
      </c>
      <c r="D637" t="s">
        <v>114</v>
      </c>
      <c r="E637" t="s">
        <v>25</v>
      </c>
      <c r="F637" t="s">
        <v>115</v>
      </c>
      <c r="G637" t="s">
        <v>37</v>
      </c>
      <c r="H637">
        <v>2023</v>
      </c>
      <c r="I637">
        <v>1.9554194875315267</v>
      </c>
    </row>
    <row r="638" spans="1:9">
      <c r="A638">
        <v>1</v>
      </c>
      <c r="B638">
        <v>4</v>
      </c>
      <c r="C638" t="s">
        <v>86</v>
      </c>
      <c r="D638" t="s">
        <v>114</v>
      </c>
      <c r="E638" t="s">
        <v>25</v>
      </c>
      <c r="F638" t="s">
        <v>115</v>
      </c>
      <c r="G638" t="s">
        <v>37</v>
      </c>
      <c r="H638">
        <v>2024</v>
      </c>
      <c r="I638">
        <v>2.1048599868201223</v>
      </c>
    </row>
    <row r="639" spans="1:9">
      <c r="A639">
        <v>1</v>
      </c>
      <c r="B639">
        <v>4</v>
      </c>
      <c r="C639" t="s">
        <v>86</v>
      </c>
      <c r="D639" t="s">
        <v>114</v>
      </c>
      <c r="E639" t="s">
        <v>25</v>
      </c>
      <c r="F639" t="s">
        <v>115</v>
      </c>
      <c r="G639" t="s">
        <v>37</v>
      </c>
      <c r="H639">
        <v>2025</v>
      </c>
      <c r="I639">
        <v>3.0028975198703503</v>
      </c>
    </row>
    <row r="640" spans="1:9">
      <c r="A640">
        <v>1</v>
      </c>
      <c r="B640">
        <v>4</v>
      </c>
      <c r="C640" t="s">
        <v>86</v>
      </c>
      <c r="D640" t="s">
        <v>114</v>
      </c>
      <c r="E640" t="s">
        <v>25</v>
      </c>
      <c r="F640" t="s">
        <v>115</v>
      </c>
      <c r="G640" t="s">
        <v>37</v>
      </c>
      <c r="H640">
        <v>2026</v>
      </c>
      <c r="I640">
        <v>2.6963346973447724</v>
      </c>
    </row>
    <row r="641" spans="1:9">
      <c r="A641">
        <v>1</v>
      </c>
      <c r="B641">
        <v>4</v>
      </c>
      <c r="C641" t="s">
        <v>86</v>
      </c>
      <c r="D641" t="s">
        <v>114</v>
      </c>
      <c r="E641" t="s">
        <v>25</v>
      </c>
      <c r="F641" t="s">
        <v>115</v>
      </c>
      <c r="G641" t="s">
        <v>37</v>
      </c>
      <c r="H641">
        <v>2027</v>
      </c>
      <c r="I641">
        <v>1.8043901724863833</v>
      </c>
    </row>
    <row r="642" spans="1:9">
      <c r="A642">
        <v>1</v>
      </c>
      <c r="B642">
        <v>4</v>
      </c>
      <c r="C642" t="s">
        <v>86</v>
      </c>
      <c r="D642" t="s">
        <v>114</v>
      </c>
      <c r="E642" t="s">
        <v>25</v>
      </c>
      <c r="F642" t="s">
        <v>115</v>
      </c>
      <c r="G642" t="s">
        <v>37</v>
      </c>
      <c r="H642">
        <v>2028</v>
      </c>
      <c r="I642">
        <v>3.4576301551552664</v>
      </c>
    </row>
    <row r="643" spans="1:9">
      <c r="A643">
        <v>1</v>
      </c>
      <c r="B643">
        <v>4</v>
      </c>
      <c r="C643" t="s">
        <v>86</v>
      </c>
      <c r="D643" t="s">
        <v>114</v>
      </c>
      <c r="E643" t="s">
        <v>25</v>
      </c>
      <c r="F643" t="s">
        <v>115</v>
      </c>
      <c r="G643" t="s">
        <v>37</v>
      </c>
      <c r="H643">
        <v>2029</v>
      </c>
      <c r="I643">
        <v>3.136558240967859</v>
      </c>
    </row>
    <row r="644" spans="1:9">
      <c r="A644">
        <v>1</v>
      </c>
      <c r="B644">
        <v>4</v>
      </c>
      <c r="C644" t="s">
        <v>86</v>
      </c>
      <c r="D644" t="s">
        <v>114</v>
      </c>
      <c r="E644" t="s">
        <v>25</v>
      </c>
      <c r="F644" t="s">
        <v>115</v>
      </c>
      <c r="G644" t="s">
        <v>37</v>
      </c>
      <c r="H644">
        <v>2030</v>
      </c>
      <c r="I644">
        <v>3.1580515241516434</v>
      </c>
    </row>
    <row r="645" spans="1:9">
      <c r="A645">
        <v>1</v>
      </c>
      <c r="B645">
        <v>4</v>
      </c>
      <c r="C645" t="s">
        <v>86</v>
      </c>
      <c r="D645" t="s">
        <v>114</v>
      </c>
      <c r="E645" t="s">
        <v>25</v>
      </c>
      <c r="F645" t="s">
        <v>115</v>
      </c>
      <c r="G645" t="s">
        <v>37</v>
      </c>
      <c r="H645">
        <v>2031</v>
      </c>
      <c r="I645">
        <v>2.1694935185734834</v>
      </c>
    </row>
    <row r="646" spans="1:9">
      <c r="A646">
        <v>1</v>
      </c>
      <c r="B646">
        <v>4</v>
      </c>
      <c r="C646" t="s">
        <v>86</v>
      </c>
      <c r="D646" t="s">
        <v>114</v>
      </c>
      <c r="E646" t="s">
        <v>25</v>
      </c>
      <c r="F646" t="s">
        <v>115</v>
      </c>
      <c r="G646" t="s">
        <v>37</v>
      </c>
      <c r="H646">
        <v>2032</v>
      </c>
      <c r="I646">
        <v>3.9234854971879098</v>
      </c>
    </row>
    <row r="647" spans="1:9">
      <c r="A647">
        <v>1</v>
      </c>
      <c r="B647">
        <v>4</v>
      </c>
      <c r="C647" t="s">
        <v>86</v>
      </c>
      <c r="D647" t="s">
        <v>114</v>
      </c>
      <c r="E647" t="s">
        <v>25</v>
      </c>
      <c r="F647" t="s">
        <v>115</v>
      </c>
      <c r="G647" t="s">
        <v>38</v>
      </c>
      <c r="H647">
        <v>2018</v>
      </c>
      <c r="I647">
        <v>1.1532860317981017</v>
      </c>
    </row>
    <row r="648" spans="1:9">
      <c r="A648">
        <v>1</v>
      </c>
      <c r="B648">
        <v>4</v>
      </c>
      <c r="C648" t="s">
        <v>86</v>
      </c>
      <c r="D648" t="s">
        <v>114</v>
      </c>
      <c r="E648" t="s">
        <v>25</v>
      </c>
      <c r="F648" t="s">
        <v>115</v>
      </c>
      <c r="G648" t="s">
        <v>38</v>
      </c>
      <c r="H648">
        <v>2019</v>
      </c>
      <c r="I648">
        <v>1.0785569203515792</v>
      </c>
    </row>
    <row r="649" spans="1:9">
      <c r="A649">
        <v>1</v>
      </c>
      <c r="B649">
        <v>4</v>
      </c>
      <c r="C649" t="s">
        <v>86</v>
      </c>
      <c r="D649" t="s">
        <v>114</v>
      </c>
      <c r="E649" t="s">
        <v>25</v>
      </c>
      <c r="F649" t="s">
        <v>115</v>
      </c>
      <c r="G649" t="s">
        <v>38</v>
      </c>
      <c r="H649">
        <v>2020</v>
      </c>
      <c r="I649">
        <v>0.82694275671021777</v>
      </c>
    </row>
    <row r="650" spans="1:9">
      <c r="A650">
        <v>1</v>
      </c>
      <c r="B650">
        <v>4</v>
      </c>
      <c r="C650" t="s">
        <v>86</v>
      </c>
      <c r="D650" t="s">
        <v>114</v>
      </c>
      <c r="E650" t="s">
        <v>25</v>
      </c>
      <c r="F650" t="s">
        <v>115</v>
      </c>
      <c r="G650" t="s">
        <v>38</v>
      </c>
      <c r="H650">
        <v>2021</v>
      </c>
      <c r="I650">
        <v>1.461264011395103</v>
      </c>
    </row>
    <row r="651" spans="1:9">
      <c r="A651">
        <v>1</v>
      </c>
      <c r="B651">
        <v>4</v>
      </c>
      <c r="C651" t="s">
        <v>86</v>
      </c>
      <c r="D651" t="s">
        <v>114</v>
      </c>
      <c r="E651" t="s">
        <v>25</v>
      </c>
      <c r="F651" t="s">
        <v>115</v>
      </c>
      <c r="G651" t="s">
        <v>38</v>
      </c>
      <c r="H651">
        <v>2022</v>
      </c>
      <c r="I651">
        <v>0.9003106853075632</v>
      </c>
    </row>
    <row r="652" spans="1:9">
      <c r="A652">
        <v>1</v>
      </c>
      <c r="B652">
        <v>4</v>
      </c>
      <c r="C652" t="s">
        <v>86</v>
      </c>
      <c r="D652" t="s">
        <v>114</v>
      </c>
      <c r="E652" t="s">
        <v>25</v>
      </c>
      <c r="F652" t="s">
        <v>115</v>
      </c>
      <c r="G652" t="s">
        <v>38</v>
      </c>
      <c r="H652">
        <v>2023</v>
      </c>
      <c r="I652">
        <v>1.2647660817045403</v>
      </c>
    </row>
    <row r="653" spans="1:9">
      <c r="A653">
        <v>1</v>
      </c>
      <c r="B653">
        <v>4</v>
      </c>
      <c r="C653" t="s">
        <v>86</v>
      </c>
      <c r="D653" t="s">
        <v>114</v>
      </c>
      <c r="E653" t="s">
        <v>25</v>
      </c>
      <c r="F653" t="s">
        <v>115</v>
      </c>
      <c r="G653" t="s">
        <v>38</v>
      </c>
      <c r="H653">
        <v>2024</v>
      </c>
      <c r="I653">
        <v>0.85813288700222135</v>
      </c>
    </row>
    <row r="654" spans="1:9">
      <c r="A654">
        <v>1</v>
      </c>
      <c r="B654">
        <v>4</v>
      </c>
      <c r="C654" t="s">
        <v>86</v>
      </c>
      <c r="D654" t="s">
        <v>114</v>
      </c>
      <c r="E654" t="s">
        <v>25</v>
      </c>
      <c r="F654" t="s">
        <v>115</v>
      </c>
      <c r="G654" t="s">
        <v>38</v>
      </c>
      <c r="H654">
        <v>2025</v>
      </c>
      <c r="I654">
        <v>1.5990823285248292</v>
      </c>
    </row>
    <row r="655" spans="1:9">
      <c r="A655">
        <v>1</v>
      </c>
      <c r="B655">
        <v>4</v>
      </c>
      <c r="C655" t="s">
        <v>86</v>
      </c>
      <c r="D655" t="s">
        <v>114</v>
      </c>
      <c r="E655" t="s">
        <v>25</v>
      </c>
      <c r="F655" t="s">
        <v>115</v>
      </c>
      <c r="G655" t="s">
        <v>38</v>
      </c>
      <c r="H655">
        <v>2026</v>
      </c>
      <c r="I655">
        <v>1.2805183510055105</v>
      </c>
    </row>
    <row r="656" spans="1:9">
      <c r="A656">
        <v>1</v>
      </c>
      <c r="B656">
        <v>4</v>
      </c>
      <c r="C656" t="s">
        <v>86</v>
      </c>
      <c r="D656" t="s">
        <v>114</v>
      </c>
      <c r="E656" t="s">
        <v>25</v>
      </c>
      <c r="F656" t="s">
        <v>115</v>
      </c>
      <c r="G656" t="s">
        <v>38</v>
      </c>
      <c r="H656">
        <v>2027</v>
      </c>
      <c r="I656">
        <v>1.426594984350551</v>
      </c>
    </row>
    <row r="657" spans="1:9">
      <c r="A657">
        <v>1</v>
      </c>
      <c r="B657">
        <v>4</v>
      </c>
      <c r="C657" t="s">
        <v>86</v>
      </c>
      <c r="D657" t="s">
        <v>114</v>
      </c>
      <c r="E657" t="s">
        <v>25</v>
      </c>
      <c r="F657" t="s">
        <v>115</v>
      </c>
      <c r="G657" t="s">
        <v>38</v>
      </c>
      <c r="H657">
        <v>2028</v>
      </c>
      <c r="I657">
        <v>1.3186104282435172</v>
      </c>
    </row>
    <row r="658" spans="1:9">
      <c r="A658">
        <v>1</v>
      </c>
      <c r="B658">
        <v>4</v>
      </c>
      <c r="C658" t="s">
        <v>86</v>
      </c>
      <c r="D658" t="s">
        <v>114</v>
      </c>
      <c r="E658" t="s">
        <v>25</v>
      </c>
      <c r="F658" t="s">
        <v>115</v>
      </c>
      <c r="G658" t="s">
        <v>38</v>
      </c>
      <c r="H658">
        <v>2029</v>
      </c>
      <c r="I658">
        <v>1.5940254374606948</v>
      </c>
    </row>
    <row r="659" spans="1:9">
      <c r="A659">
        <v>1</v>
      </c>
      <c r="B659">
        <v>4</v>
      </c>
      <c r="C659" t="s">
        <v>86</v>
      </c>
      <c r="D659" t="s">
        <v>114</v>
      </c>
      <c r="E659" t="s">
        <v>25</v>
      </c>
      <c r="F659" t="s">
        <v>115</v>
      </c>
      <c r="G659" t="s">
        <v>38</v>
      </c>
      <c r="H659">
        <v>2030</v>
      </c>
      <c r="I659">
        <v>1.0174489624901291</v>
      </c>
    </row>
    <row r="660" spans="1:9">
      <c r="A660">
        <v>1</v>
      </c>
      <c r="B660">
        <v>4</v>
      </c>
      <c r="C660" t="s">
        <v>86</v>
      </c>
      <c r="D660" t="s">
        <v>114</v>
      </c>
      <c r="E660" t="s">
        <v>25</v>
      </c>
      <c r="F660" t="s">
        <v>115</v>
      </c>
      <c r="G660" t="s">
        <v>38</v>
      </c>
      <c r="H660">
        <v>2031</v>
      </c>
      <c r="I660">
        <v>1.0377914311265046</v>
      </c>
    </row>
    <row r="661" spans="1:9">
      <c r="A661">
        <v>1</v>
      </c>
      <c r="B661">
        <v>4</v>
      </c>
      <c r="C661" t="s">
        <v>86</v>
      </c>
      <c r="D661" t="s">
        <v>114</v>
      </c>
      <c r="E661" t="s">
        <v>25</v>
      </c>
      <c r="F661" t="s">
        <v>115</v>
      </c>
      <c r="G661" t="s">
        <v>38</v>
      </c>
      <c r="H661">
        <v>2032</v>
      </c>
      <c r="I661">
        <v>2.1684105079375087</v>
      </c>
    </row>
    <row r="662" spans="1:9">
      <c r="A662">
        <v>1</v>
      </c>
      <c r="B662">
        <v>4</v>
      </c>
      <c r="C662" t="s">
        <v>86</v>
      </c>
      <c r="D662" t="s">
        <v>114</v>
      </c>
      <c r="E662" t="s">
        <v>25</v>
      </c>
      <c r="F662" t="s">
        <v>116</v>
      </c>
      <c r="G662" t="s">
        <v>37</v>
      </c>
      <c r="H662">
        <v>2018</v>
      </c>
      <c r="I662">
        <v>0.58628590022749594</v>
      </c>
    </row>
    <row r="663" spans="1:9">
      <c r="A663">
        <v>1</v>
      </c>
      <c r="B663">
        <v>4</v>
      </c>
      <c r="C663" t="s">
        <v>86</v>
      </c>
      <c r="D663" t="s">
        <v>114</v>
      </c>
      <c r="E663" t="s">
        <v>25</v>
      </c>
      <c r="F663" t="s">
        <v>116</v>
      </c>
      <c r="G663" t="s">
        <v>37</v>
      </c>
      <c r="H663">
        <v>2019</v>
      </c>
      <c r="I663">
        <v>0.80140604565485996</v>
      </c>
    </row>
    <row r="664" spans="1:9">
      <c r="A664">
        <v>1</v>
      </c>
      <c r="B664">
        <v>4</v>
      </c>
      <c r="C664" t="s">
        <v>86</v>
      </c>
      <c r="D664" t="s">
        <v>114</v>
      </c>
      <c r="E664" t="s">
        <v>25</v>
      </c>
      <c r="F664" t="s">
        <v>116</v>
      </c>
      <c r="G664" t="s">
        <v>37</v>
      </c>
      <c r="H664">
        <v>2020</v>
      </c>
      <c r="I664">
        <v>0.85245471457223676</v>
      </c>
    </row>
    <row r="665" spans="1:9">
      <c r="A665">
        <v>1</v>
      </c>
      <c r="B665">
        <v>4</v>
      </c>
      <c r="C665" t="s">
        <v>86</v>
      </c>
      <c r="D665" t="s">
        <v>114</v>
      </c>
      <c r="E665" t="s">
        <v>25</v>
      </c>
      <c r="F665" t="s">
        <v>116</v>
      </c>
      <c r="G665" t="s">
        <v>37</v>
      </c>
      <c r="H665">
        <v>2021</v>
      </c>
      <c r="I665">
        <v>0.77784329045273382</v>
      </c>
    </row>
    <row r="666" spans="1:9">
      <c r="A666">
        <v>1</v>
      </c>
      <c r="B666">
        <v>4</v>
      </c>
      <c r="C666" t="s">
        <v>86</v>
      </c>
      <c r="D666" t="s">
        <v>114</v>
      </c>
      <c r="E666" t="s">
        <v>25</v>
      </c>
      <c r="F666" t="s">
        <v>116</v>
      </c>
      <c r="G666" t="s">
        <v>37</v>
      </c>
      <c r="H666">
        <v>2022</v>
      </c>
      <c r="I666">
        <v>0.75293761900259837</v>
      </c>
    </row>
    <row r="667" spans="1:9">
      <c r="A667">
        <v>1</v>
      </c>
      <c r="B667">
        <v>4</v>
      </c>
      <c r="C667" t="s">
        <v>86</v>
      </c>
      <c r="D667" t="s">
        <v>114</v>
      </c>
      <c r="E667" t="s">
        <v>25</v>
      </c>
      <c r="F667" t="s">
        <v>116</v>
      </c>
      <c r="G667" t="s">
        <v>37</v>
      </c>
      <c r="H667">
        <v>2023</v>
      </c>
      <c r="I667">
        <v>0.95605721575424252</v>
      </c>
    </row>
    <row r="668" spans="1:9">
      <c r="A668">
        <v>1</v>
      </c>
      <c r="B668">
        <v>4</v>
      </c>
      <c r="C668" t="s">
        <v>86</v>
      </c>
      <c r="D668" t="s">
        <v>114</v>
      </c>
      <c r="E668" t="s">
        <v>25</v>
      </c>
      <c r="F668" t="s">
        <v>116</v>
      </c>
      <c r="G668" t="s">
        <v>37</v>
      </c>
      <c r="H668">
        <v>2024</v>
      </c>
      <c r="I668">
        <v>1.0488208358143121</v>
      </c>
    </row>
    <row r="669" spans="1:9">
      <c r="A669">
        <v>1</v>
      </c>
      <c r="B669">
        <v>4</v>
      </c>
      <c r="C669" t="s">
        <v>86</v>
      </c>
      <c r="D669" t="s">
        <v>114</v>
      </c>
      <c r="E669" t="s">
        <v>25</v>
      </c>
      <c r="F669" t="s">
        <v>116</v>
      </c>
      <c r="G669" t="s">
        <v>37</v>
      </c>
      <c r="H669">
        <v>2025</v>
      </c>
      <c r="I669">
        <v>0.93962754460690834</v>
      </c>
    </row>
    <row r="670" spans="1:9">
      <c r="A670">
        <v>1</v>
      </c>
      <c r="B670">
        <v>4</v>
      </c>
      <c r="C670" t="s">
        <v>86</v>
      </c>
      <c r="D670" t="s">
        <v>114</v>
      </c>
      <c r="E670" t="s">
        <v>25</v>
      </c>
      <c r="F670" t="s">
        <v>116</v>
      </c>
      <c r="G670" t="s">
        <v>37</v>
      </c>
      <c r="H670">
        <v>2026</v>
      </c>
      <c r="I670">
        <v>1.2657996326488914</v>
      </c>
    </row>
    <row r="671" spans="1:9">
      <c r="A671">
        <v>1</v>
      </c>
      <c r="B671">
        <v>4</v>
      </c>
      <c r="C671" t="s">
        <v>86</v>
      </c>
      <c r="D671" t="s">
        <v>114</v>
      </c>
      <c r="E671" t="s">
        <v>25</v>
      </c>
      <c r="F671" t="s">
        <v>116</v>
      </c>
      <c r="G671" t="s">
        <v>37</v>
      </c>
      <c r="H671">
        <v>2027</v>
      </c>
      <c r="I671">
        <v>0.90957892389766526</v>
      </c>
    </row>
    <row r="672" spans="1:9">
      <c r="A672">
        <v>1</v>
      </c>
      <c r="B672">
        <v>4</v>
      </c>
      <c r="C672" t="s">
        <v>86</v>
      </c>
      <c r="D672" t="s">
        <v>114</v>
      </c>
      <c r="E672" t="s">
        <v>25</v>
      </c>
      <c r="F672" t="s">
        <v>116</v>
      </c>
      <c r="G672" t="s">
        <v>37</v>
      </c>
      <c r="H672">
        <v>2028</v>
      </c>
      <c r="I672">
        <v>1.6416037912705712</v>
      </c>
    </row>
    <row r="673" spans="1:9">
      <c r="A673">
        <v>1</v>
      </c>
      <c r="B673">
        <v>4</v>
      </c>
      <c r="C673" t="s">
        <v>86</v>
      </c>
      <c r="D673" t="s">
        <v>114</v>
      </c>
      <c r="E673" t="s">
        <v>25</v>
      </c>
      <c r="F673" t="s">
        <v>116</v>
      </c>
      <c r="G673" t="s">
        <v>37</v>
      </c>
      <c r="H673">
        <v>2029</v>
      </c>
      <c r="I673">
        <v>0.99279157295535414</v>
      </c>
    </row>
    <row r="674" spans="1:9">
      <c r="A674">
        <v>1</v>
      </c>
      <c r="B674">
        <v>4</v>
      </c>
      <c r="C674" t="s">
        <v>86</v>
      </c>
      <c r="D674" t="s">
        <v>114</v>
      </c>
      <c r="E674" t="s">
        <v>25</v>
      </c>
      <c r="F674" t="s">
        <v>116</v>
      </c>
      <c r="G674" t="s">
        <v>37</v>
      </c>
      <c r="H674">
        <v>2030</v>
      </c>
      <c r="I674">
        <v>1.5821961993592959</v>
      </c>
    </row>
    <row r="675" spans="1:9">
      <c r="A675">
        <v>1</v>
      </c>
      <c r="B675">
        <v>4</v>
      </c>
      <c r="C675" t="s">
        <v>86</v>
      </c>
      <c r="D675" t="s">
        <v>114</v>
      </c>
      <c r="E675" t="s">
        <v>25</v>
      </c>
      <c r="F675" t="s">
        <v>116</v>
      </c>
      <c r="G675" t="s">
        <v>37</v>
      </c>
      <c r="H675">
        <v>2031</v>
      </c>
      <c r="I675">
        <v>0.91566567644205665</v>
      </c>
    </row>
    <row r="676" spans="1:9">
      <c r="A676">
        <v>1</v>
      </c>
      <c r="B676">
        <v>4</v>
      </c>
      <c r="C676" t="s">
        <v>86</v>
      </c>
      <c r="D676" t="s">
        <v>114</v>
      </c>
      <c r="E676" t="s">
        <v>25</v>
      </c>
      <c r="F676" t="s">
        <v>116</v>
      </c>
      <c r="G676" t="s">
        <v>37</v>
      </c>
      <c r="H676">
        <v>2032</v>
      </c>
      <c r="I676">
        <v>1.1137335523414214</v>
      </c>
    </row>
    <row r="677" spans="1:9">
      <c r="A677">
        <v>1</v>
      </c>
      <c r="B677">
        <v>4</v>
      </c>
      <c r="C677" t="s">
        <v>86</v>
      </c>
      <c r="D677" t="s">
        <v>114</v>
      </c>
      <c r="E677" t="s">
        <v>25</v>
      </c>
      <c r="F677" t="s">
        <v>116</v>
      </c>
      <c r="G677" t="s">
        <v>38</v>
      </c>
      <c r="H677">
        <v>2018</v>
      </c>
      <c r="I677">
        <v>0.34004807896365835</v>
      </c>
    </row>
    <row r="678" spans="1:9">
      <c r="A678">
        <v>1</v>
      </c>
      <c r="B678">
        <v>4</v>
      </c>
      <c r="C678" t="s">
        <v>86</v>
      </c>
      <c r="D678" t="s">
        <v>114</v>
      </c>
      <c r="E678" t="s">
        <v>25</v>
      </c>
      <c r="F678" t="s">
        <v>116</v>
      </c>
      <c r="G678" t="s">
        <v>38</v>
      </c>
      <c r="H678">
        <v>2019</v>
      </c>
      <c r="I678">
        <v>0.39711815927324717</v>
      </c>
    </row>
    <row r="679" spans="1:9">
      <c r="A679">
        <v>1</v>
      </c>
      <c r="B679">
        <v>4</v>
      </c>
      <c r="C679" t="s">
        <v>86</v>
      </c>
      <c r="D679" t="s">
        <v>114</v>
      </c>
      <c r="E679" t="s">
        <v>25</v>
      </c>
      <c r="F679" t="s">
        <v>116</v>
      </c>
      <c r="G679" t="s">
        <v>38</v>
      </c>
      <c r="H679">
        <v>2020</v>
      </c>
      <c r="I679">
        <v>0.45441692332733019</v>
      </c>
    </row>
    <row r="680" spans="1:9">
      <c r="A680">
        <v>1</v>
      </c>
      <c r="B680">
        <v>4</v>
      </c>
      <c r="C680" t="s">
        <v>86</v>
      </c>
      <c r="D680" t="s">
        <v>114</v>
      </c>
      <c r="E680" t="s">
        <v>25</v>
      </c>
      <c r="F680" t="s">
        <v>116</v>
      </c>
      <c r="G680" t="s">
        <v>38</v>
      </c>
      <c r="H680">
        <v>2021</v>
      </c>
      <c r="I680">
        <v>0.3871313374160793</v>
      </c>
    </row>
    <row r="681" spans="1:9">
      <c r="A681">
        <v>1</v>
      </c>
      <c r="B681">
        <v>4</v>
      </c>
      <c r="C681" t="s">
        <v>86</v>
      </c>
      <c r="D681" t="s">
        <v>114</v>
      </c>
      <c r="E681" t="s">
        <v>25</v>
      </c>
      <c r="F681" t="s">
        <v>116</v>
      </c>
      <c r="G681" t="s">
        <v>38</v>
      </c>
      <c r="H681">
        <v>2022</v>
      </c>
      <c r="I681">
        <v>0.63001028048061092</v>
      </c>
    </row>
    <row r="682" spans="1:9">
      <c r="A682">
        <v>1</v>
      </c>
      <c r="B682">
        <v>4</v>
      </c>
      <c r="C682" t="s">
        <v>86</v>
      </c>
      <c r="D682" t="s">
        <v>114</v>
      </c>
      <c r="E682" t="s">
        <v>25</v>
      </c>
      <c r="F682" t="s">
        <v>116</v>
      </c>
      <c r="G682" t="s">
        <v>38</v>
      </c>
      <c r="H682">
        <v>2023</v>
      </c>
      <c r="I682">
        <v>0.40904502845106872</v>
      </c>
    </row>
    <row r="683" spans="1:9">
      <c r="A683">
        <v>1</v>
      </c>
      <c r="B683">
        <v>4</v>
      </c>
      <c r="C683" t="s">
        <v>86</v>
      </c>
      <c r="D683" t="s">
        <v>114</v>
      </c>
      <c r="E683" t="s">
        <v>25</v>
      </c>
      <c r="F683" t="s">
        <v>116</v>
      </c>
      <c r="G683" t="s">
        <v>38</v>
      </c>
      <c r="H683">
        <v>2024</v>
      </c>
      <c r="I683">
        <v>0.59886723639026129</v>
      </c>
    </row>
    <row r="684" spans="1:9">
      <c r="A684">
        <v>1</v>
      </c>
      <c r="B684">
        <v>4</v>
      </c>
      <c r="C684" t="s">
        <v>86</v>
      </c>
      <c r="D684" t="s">
        <v>114</v>
      </c>
      <c r="E684" t="s">
        <v>25</v>
      </c>
      <c r="F684" t="s">
        <v>116</v>
      </c>
      <c r="G684" t="s">
        <v>38</v>
      </c>
      <c r="H684">
        <v>2025</v>
      </c>
      <c r="I684">
        <v>0.71644685181267276</v>
      </c>
    </row>
    <row r="685" spans="1:9">
      <c r="A685">
        <v>1</v>
      </c>
      <c r="B685">
        <v>4</v>
      </c>
      <c r="C685" t="s">
        <v>86</v>
      </c>
      <c r="D685" t="s">
        <v>114</v>
      </c>
      <c r="E685" t="s">
        <v>25</v>
      </c>
      <c r="F685" t="s">
        <v>116</v>
      </c>
      <c r="G685" t="s">
        <v>38</v>
      </c>
      <c r="H685">
        <v>2026</v>
      </c>
      <c r="I685">
        <v>0.38964919276121551</v>
      </c>
    </row>
    <row r="686" spans="1:9">
      <c r="A686">
        <v>1</v>
      </c>
      <c r="B686">
        <v>4</v>
      </c>
      <c r="C686" t="s">
        <v>86</v>
      </c>
      <c r="D686" t="s">
        <v>114</v>
      </c>
      <c r="E686" t="s">
        <v>25</v>
      </c>
      <c r="F686" t="s">
        <v>116</v>
      </c>
      <c r="G686" t="s">
        <v>38</v>
      </c>
      <c r="H686">
        <v>2027</v>
      </c>
      <c r="I686">
        <v>0.42447195498340695</v>
      </c>
    </row>
    <row r="687" spans="1:9">
      <c r="A687">
        <v>1</v>
      </c>
      <c r="B687">
        <v>4</v>
      </c>
      <c r="C687" t="s">
        <v>86</v>
      </c>
      <c r="D687" t="s">
        <v>114</v>
      </c>
      <c r="E687" t="s">
        <v>25</v>
      </c>
      <c r="F687" t="s">
        <v>116</v>
      </c>
      <c r="G687" t="s">
        <v>38</v>
      </c>
      <c r="H687">
        <v>2028</v>
      </c>
      <c r="I687">
        <v>0.76452870989893129</v>
      </c>
    </row>
    <row r="688" spans="1:9">
      <c r="A688">
        <v>1</v>
      </c>
      <c r="B688">
        <v>4</v>
      </c>
      <c r="C688" t="s">
        <v>86</v>
      </c>
      <c r="D688" t="s">
        <v>114</v>
      </c>
      <c r="E688" t="s">
        <v>25</v>
      </c>
      <c r="F688" t="s">
        <v>116</v>
      </c>
      <c r="G688" t="s">
        <v>38</v>
      </c>
      <c r="H688">
        <v>2029</v>
      </c>
      <c r="I688">
        <v>0.75145405543383248</v>
      </c>
    </row>
    <row r="689" spans="1:9">
      <c r="A689">
        <v>1</v>
      </c>
      <c r="B689">
        <v>4</v>
      </c>
      <c r="C689" t="s">
        <v>86</v>
      </c>
      <c r="D689" t="s">
        <v>114</v>
      </c>
      <c r="E689" t="s">
        <v>25</v>
      </c>
      <c r="F689" t="s">
        <v>116</v>
      </c>
      <c r="G689" t="s">
        <v>38</v>
      </c>
      <c r="H689">
        <v>2030</v>
      </c>
      <c r="I689">
        <v>0.67718765303572437</v>
      </c>
    </row>
    <row r="690" spans="1:9">
      <c r="A690">
        <v>1</v>
      </c>
      <c r="B690">
        <v>4</v>
      </c>
      <c r="C690" t="s">
        <v>86</v>
      </c>
      <c r="D690" t="s">
        <v>114</v>
      </c>
      <c r="E690" t="s">
        <v>25</v>
      </c>
      <c r="F690" t="s">
        <v>116</v>
      </c>
      <c r="G690" t="s">
        <v>38</v>
      </c>
      <c r="H690">
        <v>2031</v>
      </c>
      <c r="I690">
        <v>0.57267540850968135</v>
      </c>
    </row>
    <row r="691" spans="1:9">
      <c r="A691">
        <v>1</v>
      </c>
      <c r="B691">
        <v>4</v>
      </c>
      <c r="C691" t="s">
        <v>86</v>
      </c>
      <c r="D691" t="s">
        <v>114</v>
      </c>
      <c r="E691" t="s">
        <v>25</v>
      </c>
      <c r="F691" t="s">
        <v>116</v>
      </c>
      <c r="G691" t="s">
        <v>38</v>
      </c>
      <c r="H691">
        <v>2032</v>
      </c>
      <c r="I691">
        <v>1.0040078626484421</v>
      </c>
    </row>
    <row r="692" spans="1:9">
      <c r="A692">
        <v>1</v>
      </c>
      <c r="B692">
        <v>4</v>
      </c>
      <c r="C692" t="s">
        <v>86</v>
      </c>
      <c r="D692" t="s">
        <v>114</v>
      </c>
      <c r="E692" t="s">
        <v>25</v>
      </c>
      <c r="F692" t="s">
        <v>117</v>
      </c>
      <c r="G692" t="s">
        <v>37</v>
      </c>
      <c r="H692">
        <v>2018</v>
      </c>
      <c r="I692">
        <v>1.5785372383321234</v>
      </c>
    </row>
    <row r="693" spans="1:9">
      <c r="A693">
        <v>1</v>
      </c>
      <c r="B693">
        <v>4</v>
      </c>
      <c r="C693" t="s">
        <v>86</v>
      </c>
      <c r="D693" t="s">
        <v>114</v>
      </c>
      <c r="E693" t="s">
        <v>25</v>
      </c>
      <c r="F693" t="s">
        <v>117</v>
      </c>
      <c r="G693" t="s">
        <v>37</v>
      </c>
      <c r="H693">
        <v>2019</v>
      </c>
      <c r="I693">
        <v>1.4879132020485641</v>
      </c>
    </row>
    <row r="694" spans="1:9">
      <c r="A694">
        <v>1</v>
      </c>
      <c r="B694">
        <v>4</v>
      </c>
      <c r="C694" t="s">
        <v>86</v>
      </c>
      <c r="D694" t="s">
        <v>114</v>
      </c>
      <c r="E694" t="s">
        <v>25</v>
      </c>
      <c r="F694" t="s">
        <v>117</v>
      </c>
      <c r="G694" t="s">
        <v>37</v>
      </c>
      <c r="H694">
        <v>2020</v>
      </c>
      <c r="I694">
        <v>1.975488195603426</v>
      </c>
    </row>
    <row r="695" spans="1:9">
      <c r="A695">
        <v>1</v>
      </c>
      <c r="B695">
        <v>4</v>
      </c>
      <c r="C695" t="s">
        <v>86</v>
      </c>
      <c r="D695" t="s">
        <v>114</v>
      </c>
      <c r="E695" t="s">
        <v>25</v>
      </c>
      <c r="F695" t="s">
        <v>117</v>
      </c>
      <c r="G695" t="s">
        <v>37</v>
      </c>
      <c r="H695">
        <v>2021</v>
      </c>
      <c r="I695">
        <v>2.8720487278503457</v>
      </c>
    </row>
    <row r="696" spans="1:9">
      <c r="A696">
        <v>1</v>
      </c>
      <c r="B696">
        <v>4</v>
      </c>
      <c r="C696" t="s">
        <v>86</v>
      </c>
      <c r="D696" t="s">
        <v>114</v>
      </c>
      <c r="E696" t="s">
        <v>25</v>
      </c>
      <c r="F696" t="s">
        <v>117</v>
      </c>
      <c r="G696" t="s">
        <v>37</v>
      </c>
      <c r="H696">
        <v>2022</v>
      </c>
      <c r="I696">
        <v>2.7648531846252116</v>
      </c>
    </row>
    <row r="697" spans="1:9">
      <c r="A697">
        <v>1</v>
      </c>
      <c r="B697">
        <v>4</v>
      </c>
      <c r="C697" t="s">
        <v>86</v>
      </c>
      <c r="D697" t="s">
        <v>114</v>
      </c>
      <c r="E697" t="s">
        <v>25</v>
      </c>
      <c r="F697" t="s">
        <v>117</v>
      </c>
      <c r="G697" t="s">
        <v>37</v>
      </c>
      <c r="H697">
        <v>2023</v>
      </c>
      <c r="I697">
        <v>2.252799948870837</v>
      </c>
    </row>
    <row r="698" spans="1:9">
      <c r="A698">
        <v>1</v>
      </c>
      <c r="B698">
        <v>4</v>
      </c>
      <c r="C698" t="s">
        <v>86</v>
      </c>
      <c r="D698" t="s">
        <v>114</v>
      </c>
      <c r="E698" t="s">
        <v>25</v>
      </c>
      <c r="F698" t="s">
        <v>117</v>
      </c>
      <c r="G698" t="s">
        <v>37</v>
      </c>
      <c r="H698">
        <v>2024</v>
      </c>
      <c r="I698">
        <v>2.8432513117592779</v>
      </c>
    </row>
    <row r="699" spans="1:9">
      <c r="A699">
        <v>1</v>
      </c>
      <c r="B699">
        <v>4</v>
      </c>
      <c r="C699" t="s">
        <v>86</v>
      </c>
      <c r="D699" t="s">
        <v>114</v>
      </c>
      <c r="E699" t="s">
        <v>25</v>
      </c>
      <c r="F699" t="s">
        <v>117</v>
      </c>
      <c r="G699" t="s">
        <v>37</v>
      </c>
      <c r="H699">
        <v>2025</v>
      </c>
      <c r="I699">
        <v>2.2069657305071084</v>
      </c>
    </row>
    <row r="700" spans="1:9">
      <c r="A700">
        <v>1</v>
      </c>
      <c r="B700">
        <v>4</v>
      </c>
      <c r="C700" t="s">
        <v>86</v>
      </c>
      <c r="D700" t="s">
        <v>114</v>
      </c>
      <c r="E700" t="s">
        <v>25</v>
      </c>
      <c r="F700" t="s">
        <v>117</v>
      </c>
      <c r="G700" t="s">
        <v>37</v>
      </c>
      <c r="H700">
        <v>2026</v>
      </c>
      <c r="I700">
        <v>2.1570134422897977</v>
      </c>
    </row>
    <row r="701" spans="1:9">
      <c r="A701">
        <v>1</v>
      </c>
      <c r="B701">
        <v>4</v>
      </c>
      <c r="C701" t="s">
        <v>86</v>
      </c>
      <c r="D701" t="s">
        <v>114</v>
      </c>
      <c r="E701" t="s">
        <v>25</v>
      </c>
      <c r="F701" t="s">
        <v>117</v>
      </c>
      <c r="G701" t="s">
        <v>37</v>
      </c>
      <c r="H701">
        <v>2027</v>
      </c>
      <c r="I701">
        <v>2.1153358853561821</v>
      </c>
    </row>
    <row r="702" spans="1:9">
      <c r="A702">
        <v>1</v>
      </c>
      <c r="B702">
        <v>4</v>
      </c>
      <c r="C702" t="s">
        <v>86</v>
      </c>
      <c r="D702" t="s">
        <v>114</v>
      </c>
      <c r="E702" t="s">
        <v>25</v>
      </c>
      <c r="F702" t="s">
        <v>117</v>
      </c>
      <c r="G702" t="s">
        <v>37</v>
      </c>
      <c r="H702">
        <v>2028</v>
      </c>
      <c r="I702">
        <v>3.1231668809689985</v>
      </c>
    </row>
    <row r="703" spans="1:9">
      <c r="A703">
        <v>1</v>
      </c>
      <c r="B703">
        <v>4</v>
      </c>
      <c r="C703" t="s">
        <v>86</v>
      </c>
      <c r="D703" t="s">
        <v>114</v>
      </c>
      <c r="E703" t="s">
        <v>25</v>
      </c>
      <c r="F703" t="s">
        <v>117</v>
      </c>
      <c r="G703" t="s">
        <v>37</v>
      </c>
      <c r="H703">
        <v>2029</v>
      </c>
      <c r="I703">
        <v>3.5894753821975804</v>
      </c>
    </row>
    <row r="704" spans="1:9">
      <c r="A704">
        <v>1</v>
      </c>
      <c r="B704">
        <v>4</v>
      </c>
      <c r="C704" t="s">
        <v>86</v>
      </c>
      <c r="D704" t="s">
        <v>114</v>
      </c>
      <c r="E704" t="s">
        <v>25</v>
      </c>
      <c r="F704" t="s">
        <v>117</v>
      </c>
      <c r="G704" t="s">
        <v>37</v>
      </c>
      <c r="H704">
        <v>2030</v>
      </c>
      <c r="I704">
        <v>2.5739789590140498</v>
      </c>
    </row>
    <row r="705" spans="1:9">
      <c r="A705">
        <v>1</v>
      </c>
      <c r="B705">
        <v>4</v>
      </c>
      <c r="C705" t="s">
        <v>86</v>
      </c>
      <c r="D705" t="s">
        <v>114</v>
      </c>
      <c r="E705" t="s">
        <v>25</v>
      </c>
      <c r="F705" t="s">
        <v>117</v>
      </c>
      <c r="G705" t="s">
        <v>37</v>
      </c>
      <c r="H705">
        <v>2031</v>
      </c>
      <c r="I705">
        <v>2.1512666728026524</v>
      </c>
    </row>
    <row r="706" spans="1:9">
      <c r="A706">
        <v>1</v>
      </c>
      <c r="B706">
        <v>4</v>
      </c>
      <c r="C706" t="s">
        <v>86</v>
      </c>
      <c r="D706" t="s">
        <v>114</v>
      </c>
      <c r="E706" t="s">
        <v>25</v>
      </c>
      <c r="F706" t="s">
        <v>117</v>
      </c>
      <c r="G706" t="s">
        <v>37</v>
      </c>
      <c r="H706">
        <v>2032</v>
      </c>
      <c r="I706">
        <v>3.90313449773191</v>
      </c>
    </row>
    <row r="707" spans="1:9">
      <c r="A707">
        <v>1</v>
      </c>
      <c r="B707">
        <v>4</v>
      </c>
      <c r="C707" t="s">
        <v>86</v>
      </c>
      <c r="D707" t="s">
        <v>114</v>
      </c>
      <c r="E707" t="s">
        <v>25</v>
      </c>
      <c r="F707" t="s">
        <v>117</v>
      </c>
      <c r="G707" t="s">
        <v>38</v>
      </c>
      <c r="H707">
        <v>2018</v>
      </c>
      <c r="I707">
        <v>0.78657064205878646</v>
      </c>
    </row>
    <row r="708" spans="1:9">
      <c r="A708">
        <v>1</v>
      </c>
      <c r="B708">
        <v>4</v>
      </c>
      <c r="C708" t="s">
        <v>86</v>
      </c>
      <c r="D708" t="s">
        <v>114</v>
      </c>
      <c r="E708" t="s">
        <v>25</v>
      </c>
      <c r="F708" t="s">
        <v>117</v>
      </c>
      <c r="G708" t="s">
        <v>38</v>
      </c>
      <c r="H708">
        <v>2019</v>
      </c>
      <c r="I708">
        <v>1.0357382678139164</v>
      </c>
    </row>
    <row r="709" spans="1:9">
      <c r="A709">
        <v>1</v>
      </c>
      <c r="B709">
        <v>4</v>
      </c>
      <c r="C709" t="s">
        <v>86</v>
      </c>
      <c r="D709" t="s">
        <v>114</v>
      </c>
      <c r="E709" t="s">
        <v>25</v>
      </c>
      <c r="F709" t="s">
        <v>117</v>
      </c>
      <c r="G709" t="s">
        <v>38</v>
      </c>
      <c r="H709">
        <v>2020</v>
      </c>
      <c r="I709">
        <v>1.2086109976920432</v>
      </c>
    </row>
    <row r="710" spans="1:9">
      <c r="A710">
        <v>1</v>
      </c>
      <c r="B710">
        <v>4</v>
      </c>
      <c r="C710" t="s">
        <v>86</v>
      </c>
      <c r="D710" t="s">
        <v>114</v>
      </c>
      <c r="E710" t="s">
        <v>25</v>
      </c>
      <c r="F710" t="s">
        <v>117</v>
      </c>
      <c r="G710" t="s">
        <v>38</v>
      </c>
      <c r="H710">
        <v>2021</v>
      </c>
      <c r="I710">
        <v>0.99383818697222304</v>
      </c>
    </row>
    <row r="711" spans="1:9">
      <c r="A711">
        <v>1</v>
      </c>
      <c r="B711">
        <v>4</v>
      </c>
      <c r="C711" t="s">
        <v>86</v>
      </c>
      <c r="D711" t="s">
        <v>114</v>
      </c>
      <c r="E711" t="s">
        <v>25</v>
      </c>
      <c r="F711" t="s">
        <v>117</v>
      </c>
      <c r="G711" t="s">
        <v>38</v>
      </c>
      <c r="H711">
        <v>2022</v>
      </c>
      <c r="I711">
        <v>1.3244795507477432</v>
      </c>
    </row>
    <row r="712" spans="1:9">
      <c r="A712">
        <v>1</v>
      </c>
      <c r="B712">
        <v>4</v>
      </c>
      <c r="C712" t="s">
        <v>86</v>
      </c>
      <c r="D712" t="s">
        <v>114</v>
      </c>
      <c r="E712" t="s">
        <v>25</v>
      </c>
      <c r="F712" t="s">
        <v>117</v>
      </c>
      <c r="G712" t="s">
        <v>38</v>
      </c>
      <c r="H712">
        <v>2023</v>
      </c>
      <c r="I712">
        <v>1.4496657296986339</v>
      </c>
    </row>
    <row r="713" spans="1:9">
      <c r="A713">
        <v>1</v>
      </c>
      <c r="B713">
        <v>4</v>
      </c>
      <c r="C713" t="s">
        <v>86</v>
      </c>
      <c r="D713" t="s">
        <v>114</v>
      </c>
      <c r="E713" t="s">
        <v>25</v>
      </c>
      <c r="F713" t="s">
        <v>117</v>
      </c>
      <c r="G713" t="s">
        <v>38</v>
      </c>
      <c r="H713">
        <v>2024</v>
      </c>
      <c r="I713">
        <v>1.0487388590386353</v>
      </c>
    </row>
    <row r="714" spans="1:9">
      <c r="A714">
        <v>1</v>
      </c>
      <c r="B714">
        <v>4</v>
      </c>
      <c r="C714" t="s">
        <v>86</v>
      </c>
      <c r="D714" t="s">
        <v>114</v>
      </c>
      <c r="E714" t="s">
        <v>25</v>
      </c>
      <c r="F714" t="s">
        <v>117</v>
      </c>
      <c r="G714" t="s">
        <v>38</v>
      </c>
      <c r="H714">
        <v>2025</v>
      </c>
      <c r="I714">
        <v>0.91528111888165087</v>
      </c>
    </row>
    <row r="715" spans="1:9">
      <c r="A715">
        <v>1</v>
      </c>
      <c r="B715">
        <v>4</v>
      </c>
      <c r="C715" t="s">
        <v>86</v>
      </c>
      <c r="D715" t="s">
        <v>114</v>
      </c>
      <c r="E715" t="s">
        <v>25</v>
      </c>
      <c r="F715" t="s">
        <v>117</v>
      </c>
      <c r="G715" t="s">
        <v>38</v>
      </c>
      <c r="H715">
        <v>2026</v>
      </c>
      <c r="I715">
        <v>1.0424655206739259</v>
      </c>
    </row>
    <row r="716" spans="1:9">
      <c r="A716">
        <v>1</v>
      </c>
      <c r="B716">
        <v>4</v>
      </c>
      <c r="C716" t="s">
        <v>86</v>
      </c>
      <c r="D716" t="s">
        <v>114</v>
      </c>
      <c r="E716" t="s">
        <v>25</v>
      </c>
      <c r="F716" t="s">
        <v>117</v>
      </c>
      <c r="G716" t="s">
        <v>38</v>
      </c>
      <c r="H716">
        <v>2027</v>
      </c>
      <c r="I716">
        <v>1.3504310582317467</v>
      </c>
    </row>
    <row r="717" spans="1:9">
      <c r="A717">
        <v>1</v>
      </c>
      <c r="B717">
        <v>4</v>
      </c>
      <c r="C717" t="s">
        <v>86</v>
      </c>
      <c r="D717" t="s">
        <v>114</v>
      </c>
      <c r="E717" t="s">
        <v>25</v>
      </c>
      <c r="F717" t="s">
        <v>117</v>
      </c>
      <c r="G717" t="s">
        <v>38</v>
      </c>
      <c r="H717">
        <v>2028</v>
      </c>
      <c r="I717">
        <v>1.8968519416154681</v>
      </c>
    </row>
    <row r="718" spans="1:9">
      <c r="A718">
        <v>1</v>
      </c>
      <c r="B718">
        <v>4</v>
      </c>
      <c r="C718" t="s">
        <v>86</v>
      </c>
      <c r="D718" t="s">
        <v>114</v>
      </c>
      <c r="E718" t="s">
        <v>25</v>
      </c>
      <c r="F718" t="s">
        <v>117</v>
      </c>
      <c r="G718" t="s">
        <v>38</v>
      </c>
      <c r="H718">
        <v>2029</v>
      </c>
      <c r="I718">
        <v>1.3097058876306122</v>
      </c>
    </row>
    <row r="719" spans="1:9">
      <c r="A719">
        <v>1</v>
      </c>
      <c r="B719">
        <v>4</v>
      </c>
      <c r="C719" t="s">
        <v>86</v>
      </c>
      <c r="D719" t="s">
        <v>114</v>
      </c>
      <c r="E719" t="s">
        <v>25</v>
      </c>
      <c r="F719" t="s">
        <v>117</v>
      </c>
      <c r="G719" t="s">
        <v>38</v>
      </c>
      <c r="H719">
        <v>2030</v>
      </c>
      <c r="I719">
        <v>1.565518257968554</v>
      </c>
    </row>
    <row r="720" spans="1:9">
      <c r="A720">
        <v>1</v>
      </c>
      <c r="B720">
        <v>4</v>
      </c>
      <c r="C720" t="s">
        <v>86</v>
      </c>
      <c r="D720" t="s">
        <v>114</v>
      </c>
      <c r="E720" t="s">
        <v>25</v>
      </c>
      <c r="F720" t="s">
        <v>117</v>
      </c>
      <c r="G720" t="s">
        <v>38</v>
      </c>
      <c r="H720">
        <v>2031</v>
      </c>
      <c r="I720">
        <v>1.4042202688942174</v>
      </c>
    </row>
    <row r="721" spans="1:9">
      <c r="A721">
        <v>1</v>
      </c>
      <c r="B721">
        <v>4</v>
      </c>
      <c r="C721" t="s">
        <v>86</v>
      </c>
      <c r="D721" t="s">
        <v>114</v>
      </c>
      <c r="E721" t="s">
        <v>25</v>
      </c>
      <c r="F721" t="s">
        <v>117</v>
      </c>
      <c r="G721" t="s">
        <v>38</v>
      </c>
      <c r="H721">
        <v>2032</v>
      </c>
      <c r="I721">
        <v>1.1006712934527052</v>
      </c>
    </row>
    <row r="722" spans="1:9">
      <c r="A722">
        <v>1</v>
      </c>
      <c r="B722">
        <v>5</v>
      </c>
      <c r="C722" t="s">
        <v>87</v>
      </c>
      <c r="D722" t="s">
        <v>113</v>
      </c>
      <c r="E722" t="s">
        <v>20</v>
      </c>
      <c r="F722" t="s">
        <v>30</v>
      </c>
      <c r="G722" t="s">
        <v>37</v>
      </c>
      <c r="H722">
        <v>2018</v>
      </c>
      <c r="I722">
        <v>1.4126925920923386</v>
      </c>
    </row>
    <row r="723" spans="1:9">
      <c r="A723">
        <v>1</v>
      </c>
      <c r="B723">
        <v>5</v>
      </c>
      <c r="C723" t="s">
        <v>87</v>
      </c>
      <c r="D723" t="s">
        <v>113</v>
      </c>
      <c r="E723" t="s">
        <v>20</v>
      </c>
      <c r="F723" t="s">
        <v>30</v>
      </c>
      <c r="G723" t="s">
        <v>37</v>
      </c>
      <c r="H723">
        <v>2019</v>
      </c>
      <c r="I723">
        <v>1.9069356824649988</v>
      </c>
    </row>
    <row r="724" spans="1:9">
      <c r="A724">
        <v>1</v>
      </c>
      <c r="B724">
        <v>5</v>
      </c>
      <c r="C724" t="s">
        <v>87</v>
      </c>
      <c r="D724" t="s">
        <v>113</v>
      </c>
      <c r="E724" t="s">
        <v>20</v>
      </c>
      <c r="F724" t="s">
        <v>30</v>
      </c>
      <c r="G724" t="s">
        <v>37</v>
      </c>
      <c r="H724">
        <v>2020</v>
      </c>
      <c r="I724">
        <v>2.3594647353304303</v>
      </c>
    </row>
    <row r="725" spans="1:9">
      <c r="A725">
        <v>1</v>
      </c>
      <c r="B725">
        <v>5</v>
      </c>
      <c r="C725" t="s">
        <v>87</v>
      </c>
      <c r="D725" t="s">
        <v>113</v>
      </c>
      <c r="E725" t="s">
        <v>20</v>
      </c>
      <c r="F725" t="s">
        <v>30</v>
      </c>
      <c r="G725" t="s">
        <v>37</v>
      </c>
      <c r="H725">
        <v>2021</v>
      </c>
      <c r="I725">
        <v>2.2532655370561461</v>
      </c>
    </row>
    <row r="726" spans="1:9">
      <c r="A726">
        <v>1</v>
      </c>
      <c r="B726">
        <v>5</v>
      </c>
      <c r="C726" t="s">
        <v>87</v>
      </c>
      <c r="D726" t="s">
        <v>113</v>
      </c>
      <c r="E726" t="s">
        <v>20</v>
      </c>
      <c r="F726" t="s">
        <v>30</v>
      </c>
      <c r="G726" t="s">
        <v>37</v>
      </c>
      <c r="H726">
        <v>2022</v>
      </c>
      <c r="I726">
        <v>2.2377094412877323</v>
      </c>
    </row>
    <row r="727" spans="1:9">
      <c r="A727">
        <v>1</v>
      </c>
      <c r="B727">
        <v>5</v>
      </c>
      <c r="C727" t="s">
        <v>87</v>
      </c>
      <c r="D727" t="s">
        <v>113</v>
      </c>
      <c r="E727" t="s">
        <v>20</v>
      </c>
      <c r="F727" t="s">
        <v>30</v>
      </c>
      <c r="G727" t="s">
        <v>37</v>
      </c>
      <c r="H727">
        <v>2023</v>
      </c>
      <c r="I727">
        <v>2.3425528493210943</v>
      </c>
    </row>
    <row r="728" spans="1:9">
      <c r="A728">
        <v>1</v>
      </c>
      <c r="B728">
        <v>5</v>
      </c>
      <c r="C728" t="s">
        <v>87</v>
      </c>
      <c r="D728" t="s">
        <v>113</v>
      </c>
      <c r="E728" t="s">
        <v>20</v>
      </c>
      <c r="F728" t="s">
        <v>30</v>
      </c>
      <c r="G728" t="s">
        <v>37</v>
      </c>
      <c r="H728">
        <v>2024</v>
      </c>
      <c r="I728">
        <v>1.8384718763723233</v>
      </c>
    </row>
    <row r="729" spans="1:9">
      <c r="A729">
        <v>1</v>
      </c>
      <c r="B729">
        <v>5</v>
      </c>
      <c r="C729" t="s">
        <v>87</v>
      </c>
      <c r="D729" t="s">
        <v>113</v>
      </c>
      <c r="E729" t="s">
        <v>20</v>
      </c>
      <c r="F729" t="s">
        <v>30</v>
      </c>
      <c r="G729" t="s">
        <v>37</v>
      </c>
      <c r="H729">
        <v>2025</v>
      </c>
      <c r="I729">
        <v>1.9405281288486618</v>
      </c>
    </row>
    <row r="730" spans="1:9">
      <c r="A730">
        <v>1</v>
      </c>
      <c r="B730">
        <v>5</v>
      </c>
      <c r="C730" t="s">
        <v>87</v>
      </c>
      <c r="D730" t="s">
        <v>113</v>
      </c>
      <c r="E730" t="s">
        <v>20</v>
      </c>
      <c r="F730" t="s">
        <v>30</v>
      </c>
      <c r="G730" t="s">
        <v>37</v>
      </c>
      <c r="H730">
        <v>2026</v>
      </c>
      <c r="I730">
        <v>3.3374572307039112</v>
      </c>
    </row>
    <row r="731" spans="1:9">
      <c r="A731">
        <v>1</v>
      </c>
      <c r="B731">
        <v>5</v>
      </c>
      <c r="C731" t="s">
        <v>87</v>
      </c>
      <c r="D731" t="s">
        <v>113</v>
      </c>
      <c r="E731" t="s">
        <v>20</v>
      </c>
      <c r="F731" t="s">
        <v>30</v>
      </c>
      <c r="G731" t="s">
        <v>37</v>
      </c>
      <c r="H731">
        <v>2027</v>
      </c>
      <c r="I731">
        <v>2.7241527888454238</v>
      </c>
    </row>
    <row r="732" spans="1:9">
      <c r="A732">
        <v>1</v>
      </c>
      <c r="B732">
        <v>5</v>
      </c>
      <c r="C732" t="s">
        <v>87</v>
      </c>
      <c r="D732" t="s">
        <v>113</v>
      </c>
      <c r="E732" t="s">
        <v>20</v>
      </c>
      <c r="F732" t="s">
        <v>30</v>
      </c>
      <c r="G732" t="s">
        <v>37</v>
      </c>
      <c r="H732">
        <v>2028</v>
      </c>
      <c r="I732">
        <v>3.9746050840826834</v>
      </c>
    </row>
    <row r="733" spans="1:9">
      <c r="A733">
        <v>1</v>
      </c>
      <c r="B733">
        <v>5</v>
      </c>
      <c r="C733" t="s">
        <v>87</v>
      </c>
      <c r="D733" t="s">
        <v>113</v>
      </c>
      <c r="E733" t="s">
        <v>20</v>
      </c>
      <c r="F733" t="s">
        <v>30</v>
      </c>
      <c r="G733" t="s">
        <v>37</v>
      </c>
      <c r="H733">
        <v>2029</v>
      </c>
      <c r="I733">
        <v>3.0743392602780544</v>
      </c>
    </row>
    <row r="734" spans="1:9">
      <c r="A734">
        <v>1</v>
      </c>
      <c r="B734">
        <v>5</v>
      </c>
      <c r="C734" t="s">
        <v>87</v>
      </c>
      <c r="D734" t="s">
        <v>113</v>
      </c>
      <c r="E734" t="s">
        <v>20</v>
      </c>
      <c r="F734" t="s">
        <v>30</v>
      </c>
      <c r="G734" t="s">
        <v>37</v>
      </c>
      <c r="H734">
        <v>2030</v>
      </c>
      <c r="I734">
        <v>3.6480053951564306</v>
      </c>
    </row>
    <row r="735" spans="1:9">
      <c r="A735">
        <v>1</v>
      </c>
      <c r="B735">
        <v>5</v>
      </c>
      <c r="C735" t="s">
        <v>87</v>
      </c>
      <c r="D735" t="s">
        <v>113</v>
      </c>
      <c r="E735" t="s">
        <v>20</v>
      </c>
      <c r="F735" t="s">
        <v>30</v>
      </c>
      <c r="G735" t="s">
        <v>37</v>
      </c>
      <c r="H735">
        <v>2031</v>
      </c>
      <c r="I735">
        <v>3.6723851051518794</v>
      </c>
    </row>
    <row r="736" spans="1:9">
      <c r="A736">
        <v>1</v>
      </c>
      <c r="B736">
        <v>5</v>
      </c>
      <c r="C736" t="s">
        <v>87</v>
      </c>
      <c r="D736" t="s">
        <v>113</v>
      </c>
      <c r="E736" t="s">
        <v>20</v>
      </c>
      <c r="F736" t="s">
        <v>30</v>
      </c>
      <c r="G736" t="s">
        <v>37</v>
      </c>
      <c r="H736">
        <v>2032</v>
      </c>
      <c r="I736">
        <v>3.0742479130442373</v>
      </c>
    </row>
    <row r="737" spans="1:9">
      <c r="A737">
        <v>1</v>
      </c>
      <c r="B737">
        <v>5</v>
      </c>
      <c r="C737" t="s">
        <v>87</v>
      </c>
      <c r="D737" t="s">
        <v>113</v>
      </c>
      <c r="E737" t="s">
        <v>20</v>
      </c>
      <c r="F737" t="s">
        <v>30</v>
      </c>
      <c r="G737" t="s">
        <v>38</v>
      </c>
      <c r="H737">
        <v>2018</v>
      </c>
      <c r="I737">
        <v>0.88047341185081041</v>
      </c>
    </row>
    <row r="738" spans="1:9">
      <c r="A738">
        <v>1</v>
      </c>
      <c r="B738">
        <v>5</v>
      </c>
      <c r="C738" t="s">
        <v>87</v>
      </c>
      <c r="D738" t="s">
        <v>113</v>
      </c>
      <c r="E738" t="s">
        <v>20</v>
      </c>
      <c r="F738" t="s">
        <v>30</v>
      </c>
      <c r="G738" t="s">
        <v>38</v>
      </c>
      <c r="H738">
        <v>2019</v>
      </c>
      <c r="I738">
        <v>0.87515090964457565</v>
      </c>
    </row>
    <row r="739" spans="1:9">
      <c r="A739">
        <v>1</v>
      </c>
      <c r="B739">
        <v>5</v>
      </c>
      <c r="C739" t="s">
        <v>87</v>
      </c>
      <c r="D739" t="s">
        <v>113</v>
      </c>
      <c r="E739" t="s">
        <v>20</v>
      </c>
      <c r="F739" t="s">
        <v>30</v>
      </c>
      <c r="G739" t="s">
        <v>38</v>
      </c>
      <c r="H739">
        <v>2020</v>
      </c>
      <c r="I739">
        <v>0.69931237453734552</v>
      </c>
    </row>
    <row r="740" spans="1:9">
      <c r="A740">
        <v>1</v>
      </c>
      <c r="B740">
        <v>5</v>
      </c>
      <c r="C740" t="s">
        <v>87</v>
      </c>
      <c r="D740" t="s">
        <v>113</v>
      </c>
      <c r="E740" t="s">
        <v>20</v>
      </c>
      <c r="F740" t="s">
        <v>30</v>
      </c>
      <c r="G740" t="s">
        <v>38</v>
      </c>
      <c r="H740">
        <v>2021</v>
      </c>
      <c r="I740">
        <v>0.94567950440450821</v>
      </c>
    </row>
    <row r="741" spans="1:9">
      <c r="A741">
        <v>1</v>
      </c>
      <c r="B741">
        <v>5</v>
      </c>
      <c r="C741" t="s">
        <v>87</v>
      </c>
      <c r="D741" t="s">
        <v>113</v>
      </c>
      <c r="E741" t="s">
        <v>20</v>
      </c>
      <c r="F741" t="s">
        <v>30</v>
      </c>
      <c r="G741" t="s">
        <v>38</v>
      </c>
      <c r="H741">
        <v>2022</v>
      </c>
      <c r="I741">
        <v>0.98853263416255432</v>
      </c>
    </row>
    <row r="742" spans="1:9">
      <c r="A742">
        <v>1</v>
      </c>
      <c r="B742">
        <v>5</v>
      </c>
      <c r="C742" t="s">
        <v>87</v>
      </c>
      <c r="D742" t="s">
        <v>113</v>
      </c>
      <c r="E742" t="s">
        <v>20</v>
      </c>
      <c r="F742" t="s">
        <v>30</v>
      </c>
      <c r="G742" t="s">
        <v>38</v>
      </c>
      <c r="H742">
        <v>2023</v>
      </c>
      <c r="I742">
        <v>0.91506740774222473</v>
      </c>
    </row>
    <row r="743" spans="1:9">
      <c r="A743">
        <v>1</v>
      </c>
      <c r="B743">
        <v>5</v>
      </c>
      <c r="C743" t="s">
        <v>87</v>
      </c>
      <c r="D743" t="s">
        <v>113</v>
      </c>
      <c r="E743" t="s">
        <v>20</v>
      </c>
      <c r="F743" t="s">
        <v>30</v>
      </c>
      <c r="G743" t="s">
        <v>38</v>
      </c>
      <c r="H743">
        <v>2024</v>
      </c>
      <c r="I743">
        <v>0.98507059009349085</v>
      </c>
    </row>
    <row r="744" spans="1:9">
      <c r="A744">
        <v>1</v>
      </c>
      <c r="B744">
        <v>5</v>
      </c>
      <c r="C744" t="s">
        <v>87</v>
      </c>
      <c r="D744" t="s">
        <v>113</v>
      </c>
      <c r="E744" t="s">
        <v>20</v>
      </c>
      <c r="F744" t="s">
        <v>30</v>
      </c>
      <c r="G744" t="s">
        <v>38</v>
      </c>
      <c r="H744">
        <v>2025</v>
      </c>
      <c r="I744">
        <v>1.6214765024676536</v>
      </c>
    </row>
    <row r="745" spans="1:9">
      <c r="A745">
        <v>1</v>
      </c>
      <c r="B745">
        <v>5</v>
      </c>
      <c r="C745" t="s">
        <v>87</v>
      </c>
      <c r="D745" t="s">
        <v>113</v>
      </c>
      <c r="E745" t="s">
        <v>20</v>
      </c>
      <c r="F745" t="s">
        <v>30</v>
      </c>
      <c r="G745" t="s">
        <v>38</v>
      </c>
      <c r="H745">
        <v>2026</v>
      </c>
      <c r="I745">
        <v>0.99056287980348534</v>
      </c>
    </row>
    <row r="746" spans="1:9">
      <c r="A746">
        <v>1</v>
      </c>
      <c r="B746">
        <v>5</v>
      </c>
      <c r="C746" t="s">
        <v>87</v>
      </c>
      <c r="D746" t="s">
        <v>113</v>
      </c>
      <c r="E746" t="s">
        <v>20</v>
      </c>
      <c r="F746" t="s">
        <v>30</v>
      </c>
      <c r="G746" t="s">
        <v>38</v>
      </c>
      <c r="H746">
        <v>2027</v>
      </c>
      <c r="I746">
        <v>1.0639021493634195</v>
      </c>
    </row>
    <row r="747" spans="1:9">
      <c r="A747">
        <v>1</v>
      </c>
      <c r="B747">
        <v>5</v>
      </c>
      <c r="C747" t="s">
        <v>87</v>
      </c>
      <c r="D747" t="s">
        <v>113</v>
      </c>
      <c r="E747" t="s">
        <v>20</v>
      </c>
      <c r="F747" t="s">
        <v>30</v>
      </c>
      <c r="G747" t="s">
        <v>38</v>
      </c>
      <c r="H747">
        <v>2028</v>
      </c>
      <c r="I747">
        <v>1.6221482096853537</v>
      </c>
    </row>
    <row r="748" spans="1:9">
      <c r="A748">
        <v>1</v>
      </c>
      <c r="B748">
        <v>5</v>
      </c>
      <c r="C748" t="s">
        <v>87</v>
      </c>
      <c r="D748" t="s">
        <v>113</v>
      </c>
      <c r="E748" t="s">
        <v>20</v>
      </c>
      <c r="F748" t="s">
        <v>30</v>
      </c>
      <c r="G748" t="s">
        <v>38</v>
      </c>
      <c r="H748">
        <v>2029</v>
      </c>
      <c r="I748">
        <v>1.2518692345543248</v>
      </c>
    </row>
    <row r="749" spans="1:9">
      <c r="A749">
        <v>1</v>
      </c>
      <c r="B749">
        <v>5</v>
      </c>
      <c r="C749" t="s">
        <v>87</v>
      </c>
      <c r="D749" t="s">
        <v>113</v>
      </c>
      <c r="E749" t="s">
        <v>20</v>
      </c>
      <c r="F749" t="s">
        <v>30</v>
      </c>
      <c r="G749" t="s">
        <v>38</v>
      </c>
      <c r="H749">
        <v>2030</v>
      </c>
      <c r="I749">
        <v>1.2674027140398383</v>
      </c>
    </row>
    <row r="750" spans="1:9">
      <c r="A750">
        <v>1</v>
      </c>
      <c r="B750">
        <v>5</v>
      </c>
      <c r="C750" t="s">
        <v>87</v>
      </c>
      <c r="D750" t="s">
        <v>113</v>
      </c>
      <c r="E750" t="s">
        <v>20</v>
      </c>
      <c r="F750" t="s">
        <v>30</v>
      </c>
      <c r="G750" t="s">
        <v>38</v>
      </c>
      <c r="H750">
        <v>2031</v>
      </c>
      <c r="I750">
        <v>1.7412376968578558</v>
      </c>
    </row>
    <row r="751" spans="1:9">
      <c r="A751">
        <v>1</v>
      </c>
      <c r="B751">
        <v>5</v>
      </c>
      <c r="C751" t="s">
        <v>87</v>
      </c>
      <c r="D751" t="s">
        <v>113</v>
      </c>
      <c r="E751" t="s">
        <v>20</v>
      </c>
      <c r="F751" t="s">
        <v>30</v>
      </c>
      <c r="G751" t="s">
        <v>38</v>
      </c>
      <c r="H751">
        <v>2032</v>
      </c>
      <c r="I751">
        <v>1.4642352020190592</v>
      </c>
    </row>
    <row r="752" spans="1:9">
      <c r="A752">
        <v>1</v>
      </c>
      <c r="B752">
        <v>5</v>
      </c>
      <c r="C752" t="s">
        <v>87</v>
      </c>
      <c r="D752" t="s">
        <v>113</v>
      </c>
      <c r="E752" t="s">
        <v>20</v>
      </c>
      <c r="F752" t="s">
        <v>31</v>
      </c>
      <c r="G752" t="s">
        <v>37</v>
      </c>
      <c r="H752">
        <v>2018</v>
      </c>
      <c r="I752">
        <v>0.9153514214681151</v>
      </c>
    </row>
    <row r="753" spans="1:9">
      <c r="A753">
        <v>1</v>
      </c>
      <c r="B753">
        <v>5</v>
      </c>
      <c r="C753" t="s">
        <v>87</v>
      </c>
      <c r="D753" t="s">
        <v>113</v>
      </c>
      <c r="E753" t="s">
        <v>20</v>
      </c>
      <c r="F753" t="s">
        <v>31</v>
      </c>
      <c r="G753" t="s">
        <v>37</v>
      </c>
      <c r="H753">
        <v>2019</v>
      </c>
      <c r="I753">
        <v>0.6325348340685516</v>
      </c>
    </row>
    <row r="754" spans="1:9">
      <c r="A754">
        <v>1</v>
      </c>
      <c r="B754">
        <v>5</v>
      </c>
      <c r="C754" t="s">
        <v>87</v>
      </c>
      <c r="D754" t="s">
        <v>113</v>
      </c>
      <c r="E754" t="s">
        <v>20</v>
      </c>
      <c r="F754" t="s">
        <v>31</v>
      </c>
      <c r="G754" t="s">
        <v>37</v>
      </c>
      <c r="H754">
        <v>2020</v>
      </c>
      <c r="I754">
        <v>0.63615016630468713</v>
      </c>
    </row>
    <row r="755" spans="1:9">
      <c r="A755">
        <v>1</v>
      </c>
      <c r="B755">
        <v>5</v>
      </c>
      <c r="C755" t="s">
        <v>87</v>
      </c>
      <c r="D755" t="s">
        <v>113</v>
      </c>
      <c r="E755" t="s">
        <v>20</v>
      </c>
      <c r="F755" t="s">
        <v>31</v>
      </c>
      <c r="G755" t="s">
        <v>37</v>
      </c>
      <c r="H755">
        <v>2021</v>
      </c>
      <c r="I755">
        <v>1.1160319117870263</v>
      </c>
    </row>
    <row r="756" spans="1:9">
      <c r="A756">
        <v>1</v>
      </c>
      <c r="B756">
        <v>5</v>
      </c>
      <c r="C756" t="s">
        <v>87</v>
      </c>
      <c r="D756" t="s">
        <v>113</v>
      </c>
      <c r="E756" t="s">
        <v>20</v>
      </c>
      <c r="F756" t="s">
        <v>31</v>
      </c>
      <c r="G756" t="s">
        <v>37</v>
      </c>
      <c r="H756">
        <v>2022</v>
      </c>
      <c r="I756">
        <v>1.3425674473793143</v>
      </c>
    </row>
    <row r="757" spans="1:9">
      <c r="A757">
        <v>1</v>
      </c>
      <c r="B757">
        <v>5</v>
      </c>
      <c r="C757" t="s">
        <v>87</v>
      </c>
      <c r="D757" t="s">
        <v>113</v>
      </c>
      <c r="E757" t="s">
        <v>20</v>
      </c>
      <c r="F757" t="s">
        <v>31</v>
      </c>
      <c r="G757" t="s">
        <v>37</v>
      </c>
      <c r="H757">
        <v>2023</v>
      </c>
      <c r="I757">
        <v>1.1009958777784628</v>
      </c>
    </row>
    <row r="758" spans="1:9">
      <c r="A758">
        <v>1</v>
      </c>
      <c r="B758">
        <v>5</v>
      </c>
      <c r="C758" t="s">
        <v>87</v>
      </c>
      <c r="D758" t="s">
        <v>113</v>
      </c>
      <c r="E758" t="s">
        <v>20</v>
      </c>
      <c r="F758" t="s">
        <v>31</v>
      </c>
      <c r="G758" t="s">
        <v>37</v>
      </c>
      <c r="H758">
        <v>2024</v>
      </c>
      <c r="I758">
        <v>1.4194337228671317</v>
      </c>
    </row>
    <row r="759" spans="1:9">
      <c r="A759">
        <v>1</v>
      </c>
      <c r="B759">
        <v>5</v>
      </c>
      <c r="C759" t="s">
        <v>87</v>
      </c>
      <c r="D759" t="s">
        <v>113</v>
      </c>
      <c r="E759" t="s">
        <v>20</v>
      </c>
      <c r="F759" t="s">
        <v>31</v>
      </c>
      <c r="G759" t="s">
        <v>37</v>
      </c>
      <c r="H759">
        <v>2025</v>
      </c>
      <c r="I759">
        <v>1.2980204511964049</v>
      </c>
    </row>
    <row r="760" spans="1:9">
      <c r="A760">
        <v>1</v>
      </c>
      <c r="B760">
        <v>5</v>
      </c>
      <c r="C760" t="s">
        <v>87</v>
      </c>
      <c r="D760" t="s">
        <v>113</v>
      </c>
      <c r="E760" t="s">
        <v>20</v>
      </c>
      <c r="F760" t="s">
        <v>31</v>
      </c>
      <c r="G760" t="s">
        <v>37</v>
      </c>
      <c r="H760">
        <v>2026</v>
      </c>
      <c r="I760">
        <v>0.87186535286341427</v>
      </c>
    </row>
    <row r="761" spans="1:9">
      <c r="A761">
        <v>1</v>
      </c>
      <c r="B761">
        <v>5</v>
      </c>
      <c r="C761" t="s">
        <v>87</v>
      </c>
      <c r="D761" t="s">
        <v>113</v>
      </c>
      <c r="E761" t="s">
        <v>20</v>
      </c>
      <c r="F761" t="s">
        <v>31</v>
      </c>
      <c r="G761" t="s">
        <v>37</v>
      </c>
      <c r="H761">
        <v>2027</v>
      </c>
      <c r="I761">
        <v>1.4972829023956933</v>
      </c>
    </row>
    <row r="762" spans="1:9">
      <c r="A762">
        <v>1</v>
      </c>
      <c r="B762">
        <v>5</v>
      </c>
      <c r="C762" t="s">
        <v>87</v>
      </c>
      <c r="D762" t="s">
        <v>113</v>
      </c>
      <c r="E762" t="s">
        <v>20</v>
      </c>
      <c r="F762" t="s">
        <v>31</v>
      </c>
      <c r="G762" t="s">
        <v>37</v>
      </c>
      <c r="H762">
        <v>2028</v>
      </c>
      <c r="I762">
        <v>1.0322178770863979</v>
      </c>
    </row>
    <row r="763" spans="1:9">
      <c r="A763">
        <v>1</v>
      </c>
      <c r="B763">
        <v>5</v>
      </c>
      <c r="C763" t="s">
        <v>87</v>
      </c>
      <c r="D763" t="s">
        <v>113</v>
      </c>
      <c r="E763" t="s">
        <v>20</v>
      </c>
      <c r="F763" t="s">
        <v>31</v>
      </c>
      <c r="G763" t="s">
        <v>37</v>
      </c>
      <c r="H763">
        <v>2029</v>
      </c>
      <c r="I763">
        <v>1.0138857253735909</v>
      </c>
    </row>
    <row r="764" spans="1:9">
      <c r="A764">
        <v>1</v>
      </c>
      <c r="B764">
        <v>5</v>
      </c>
      <c r="C764" t="s">
        <v>87</v>
      </c>
      <c r="D764" t="s">
        <v>113</v>
      </c>
      <c r="E764" t="s">
        <v>20</v>
      </c>
      <c r="F764" t="s">
        <v>31</v>
      </c>
      <c r="G764" t="s">
        <v>37</v>
      </c>
      <c r="H764">
        <v>2030</v>
      </c>
      <c r="I764">
        <v>1.8113511877075972</v>
      </c>
    </row>
    <row r="765" spans="1:9">
      <c r="A765">
        <v>1</v>
      </c>
      <c r="B765">
        <v>5</v>
      </c>
      <c r="C765" t="s">
        <v>87</v>
      </c>
      <c r="D765" t="s">
        <v>113</v>
      </c>
      <c r="E765" t="s">
        <v>20</v>
      </c>
      <c r="F765" t="s">
        <v>31</v>
      </c>
      <c r="G765" t="s">
        <v>37</v>
      </c>
      <c r="H765">
        <v>2031</v>
      </c>
      <c r="I765">
        <v>1.3675164799132258</v>
      </c>
    </row>
    <row r="766" spans="1:9">
      <c r="A766">
        <v>1</v>
      </c>
      <c r="B766">
        <v>5</v>
      </c>
      <c r="C766" t="s">
        <v>87</v>
      </c>
      <c r="D766" t="s">
        <v>113</v>
      </c>
      <c r="E766" t="s">
        <v>20</v>
      </c>
      <c r="F766" t="s">
        <v>31</v>
      </c>
      <c r="G766" t="s">
        <v>37</v>
      </c>
      <c r="H766">
        <v>2032</v>
      </c>
      <c r="I766">
        <v>1.0306554023748014</v>
      </c>
    </row>
    <row r="767" spans="1:9">
      <c r="A767">
        <v>1</v>
      </c>
      <c r="B767">
        <v>5</v>
      </c>
      <c r="C767" t="s">
        <v>87</v>
      </c>
      <c r="D767" t="s">
        <v>113</v>
      </c>
      <c r="E767" t="s">
        <v>20</v>
      </c>
      <c r="F767" t="s">
        <v>31</v>
      </c>
      <c r="G767" t="s">
        <v>38</v>
      </c>
      <c r="H767">
        <v>2018</v>
      </c>
      <c r="I767">
        <v>0.47356209811049677</v>
      </c>
    </row>
    <row r="768" spans="1:9">
      <c r="A768">
        <v>1</v>
      </c>
      <c r="B768">
        <v>5</v>
      </c>
      <c r="C768" t="s">
        <v>87</v>
      </c>
      <c r="D768" t="s">
        <v>113</v>
      </c>
      <c r="E768" t="s">
        <v>20</v>
      </c>
      <c r="F768" t="s">
        <v>31</v>
      </c>
      <c r="G768" t="s">
        <v>38</v>
      </c>
      <c r="H768">
        <v>2019</v>
      </c>
      <c r="I768">
        <v>0.33027255398607819</v>
      </c>
    </row>
    <row r="769" spans="1:9">
      <c r="A769">
        <v>1</v>
      </c>
      <c r="B769">
        <v>5</v>
      </c>
      <c r="C769" t="s">
        <v>87</v>
      </c>
      <c r="D769" t="s">
        <v>113</v>
      </c>
      <c r="E769" t="s">
        <v>20</v>
      </c>
      <c r="F769" t="s">
        <v>31</v>
      </c>
      <c r="G769" t="s">
        <v>38</v>
      </c>
      <c r="H769">
        <v>2020</v>
      </c>
      <c r="I769">
        <v>0.43697743319158278</v>
      </c>
    </row>
    <row r="770" spans="1:9">
      <c r="A770">
        <v>1</v>
      </c>
      <c r="B770">
        <v>5</v>
      </c>
      <c r="C770" t="s">
        <v>87</v>
      </c>
      <c r="D770" t="s">
        <v>113</v>
      </c>
      <c r="E770" t="s">
        <v>20</v>
      </c>
      <c r="F770" t="s">
        <v>31</v>
      </c>
      <c r="G770" t="s">
        <v>38</v>
      </c>
      <c r="H770">
        <v>2021</v>
      </c>
      <c r="I770">
        <v>0.37669286979934929</v>
      </c>
    </row>
    <row r="771" spans="1:9">
      <c r="A771">
        <v>1</v>
      </c>
      <c r="B771">
        <v>5</v>
      </c>
      <c r="C771" t="s">
        <v>87</v>
      </c>
      <c r="D771" t="s">
        <v>113</v>
      </c>
      <c r="E771" t="s">
        <v>20</v>
      </c>
      <c r="F771" t="s">
        <v>31</v>
      </c>
      <c r="G771" t="s">
        <v>38</v>
      </c>
      <c r="H771">
        <v>2022</v>
      </c>
      <c r="I771">
        <v>0.50976109804338399</v>
      </c>
    </row>
    <row r="772" spans="1:9">
      <c r="A772">
        <v>1</v>
      </c>
      <c r="B772">
        <v>5</v>
      </c>
      <c r="C772" t="s">
        <v>87</v>
      </c>
      <c r="D772" t="s">
        <v>113</v>
      </c>
      <c r="E772" t="s">
        <v>20</v>
      </c>
      <c r="F772" t="s">
        <v>31</v>
      </c>
      <c r="G772" t="s">
        <v>38</v>
      </c>
      <c r="H772">
        <v>2023</v>
      </c>
      <c r="I772">
        <v>0.47922054720199508</v>
      </c>
    </row>
    <row r="773" spans="1:9">
      <c r="A773">
        <v>1</v>
      </c>
      <c r="B773">
        <v>5</v>
      </c>
      <c r="C773" t="s">
        <v>87</v>
      </c>
      <c r="D773" t="s">
        <v>113</v>
      </c>
      <c r="E773" t="s">
        <v>20</v>
      </c>
      <c r="F773" t="s">
        <v>31</v>
      </c>
      <c r="G773" t="s">
        <v>38</v>
      </c>
      <c r="H773">
        <v>2024</v>
      </c>
      <c r="I773">
        <v>0.73810280786353455</v>
      </c>
    </row>
    <row r="774" spans="1:9">
      <c r="A774">
        <v>1</v>
      </c>
      <c r="B774">
        <v>5</v>
      </c>
      <c r="C774" t="s">
        <v>87</v>
      </c>
      <c r="D774" t="s">
        <v>113</v>
      </c>
      <c r="E774" t="s">
        <v>20</v>
      </c>
      <c r="F774" t="s">
        <v>31</v>
      </c>
      <c r="G774" t="s">
        <v>38</v>
      </c>
      <c r="H774">
        <v>2025</v>
      </c>
      <c r="I774">
        <v>0.48788414532392271</v>
      </c>
    </row>
    <row r="775" spans="1:9">
      <c r="A775">
        <v>1</v>
      </c>
      <c r="B775">
        <v>5</v>
      </c>
      <c r="C775" t="s">
        <v>87</v>
      </c>
      <c r="D775" t="s">
        <v>113</v>
      </c>
      <c r="E775" t="s">
        <v>20</v>
      </c>
      <c r="F775" t="s">
        <v>31</v>
      </c>
      <c r="G775" t="s">
        <v>38</v>
      </c>
      <c r="H775">
        <v>2026</v>
      </c>
      <c r="I775">
        <v>0.45123230417711929</v>
      </c>
    </row>
    <row r="776" spans="1:9">
      <c r="A776">
        <v>1</v>
      </c>
      <c r="B776">
        <v>5</v>
      </c>
      <c r="C776" t="s">
        <v>87</v>
      </c>
      <c r="D776" t="s">
        <v>113</v>
      </c>
      <c r="E776" t="s">
        <v>20</v>
      </c>
      <c r="F776" t="s">
        <v>31</v>
      </c>
      <c r="G776" t="s">
        <v>38</v>
      </c>
      <c r="H776">
        <v>2027</v>
      </c>
      <c r="I776">
        <v>0.67533026825605191</v>
      </c>
    </row>
    <row r="777" spans="1:9">
      <c r="A777">
        <v>1</v>
      </c>
      <c r="B777">
        <v>5</v>
      </c>
      <c r="C777" t="s">
        <v>87</v>
      </c>
      <c r="D777" t="s">
        <v>113</v>
      </c>
      <c r="E777" t="s">
        <v>20</v>
      </c>
      <c r="F777" t="s">
        <v>31</v>
      </c>
      <c r="G777" t="s">
        <v>38</v>
      </c>
      <c r="H777">
        <v>2028</v>
      </c>
      <c r="I777">
        <v>0.85302909045457387</v>
      </c>
    </row>
    <row r="778" spans="1:9">
      <c r="A778">
        <v>1</v>
      </c>
      <c r="B778">
        <v>5</v>
      </c>
      <c r="C778" t="s">
        <v>87</v>
      </c>
      <c r="D778" t="s">
        <v>113</v>
      </c>
      <c r="E778" t="s">
        <v>20</v>
      </c>
      <c r="F778" t="s">
        <v>31</v>
      </c>
      <c r="G778" t="s">
        <v>38</v>
      </c>
      <c r="H778">
        <v>2029</v>
      </c>
      <c r="I778">
        <v>0.67926369309267431</v>
      </c>
    </row>
    <row r="779" spans="1:9">
      <c r="A779">
        <v>1</v>
      </c>
      <c r="B779">
        <v>5</v>
      </c>
      <c r="C779" t="s">
        <v>87</v>
      </c>
      <c r="D779" t="s">
        <v>113</v>
      </c>
      <c r="E779" t="s">
        <v>20</v>
      </c>
      <c r="F779" t="s">
        <v>31</v>
      </c>
      <c r="G779" t="s">
        <v>38</v>
      </c>
      <c r="H779">
        <v>2030</v>
      </c>
      <c r="I779">
        <v>0.79041346460520767</v>
      </c>
    </row>
    <row r="780" spans="1:9">
      <c r="A780">
        <v>1</v>
      </c>
      <c r="B780">
        <v>5</v>
      </c>
      <c r="C780" t="s">
        <v>87</v>
      </c>
      <c r="D780" t="s">
        <v>113</v>
      </c>
      <c r="E780" t="s">
        <v>20</v>
      </c>
      <c r="F780" t="s">
        <v>31</v>
      </c>
      <c r="G780" t="s">
        <v>38</v>
      </c>
      <c r="H780">
        <v>2031</v>
      </c>
      <c r="I780">
        <v>0.87144120781039713</v>
      </c>
    </row>
    <row r="781" spans="1:9">
      <c r="A781">
        <v>1</v>
      </c>
      <c r="B781">
        <v>5</v>
      </c>
      <c r="C781" t="s">
        <v>87</v>
      </c>
      <c r="D781" t="s">
        <v>113</v>
      </c>
      <c r="E781" t="s">
        <v>20</v>
      </c>
      <c r="F781" t="s">
        <v>31</v>
      </c>
      <c r="G781" t="s">
        <v>38</v>
      </c>
      <c r="H781">
        <v>2032</v>
      </c>
      <c r="I781">
        <v>0.9393626897049645</v>
      </c>
    </row>
    <row r="782" spans="1:9">
      <c r="A782">
        <v>1</v>
      </c>
      <c r="B782">
        <v>5</v>
      </c>
      <c r="C782" t="s">
        <v>87</v>
      </c>
      <c r="D782" t="s">
        <v>113</v>
      </c>
      <c r="E782" t="s">
        <v>23</v>
      </c>
      <c r="F782" t="s">
        <v>32</v>
      </c>
      <c r="G782" t="s">
        <v>37</v>
      </c>
      <c r="H782">
        <v>2018</v>
      </c>
      <c r="I782">
        <v>1.9438298966152487</v>
      </c>
    </row>
    <row r="783" spans="1:9">
      <c r="A783">
        <v>1</v>
      </c>
      <c r="B783">
        <v>5</v>
      </c>
      <c r="C783" t="s">
        <v>87</v>
      </c>
      <c r="D783" t="s">
        <v>113</v>
      </c>
      <c r="E783" t="s">
        <v>23</v>
      </c>
      <c r="F783" t="s">
        <v>32</v>
      </c>
      <c r="G783" t="s">
        <v>37</v>
      </c>
      <c r="H783">
        <v>2019</v>
      </c>
      <c r="I783">
        <v>2.0625903849941736</v>
      </c>
    </row>
    <row r="784" spans="1:9">
      <c r="A784">
        <v>1</v>
      </c>
      <c r="B784">
        <v>5</v>
      </c>
      <c r="C784" t="s">
        <v>87</v>
      </c>
      <c r="D784" t="s">
        <v>113</v>
      </c>
      <c r="E784" t="s">
        <v>23</v>
      </c>
      <c r="F784" t="s">
        <v>32</v>
      </c>
      <c r="G784" t="s">
        <v>37</v>
      </c>
      <c r="H784">
        <v>2020</v>
      </c>
      <c r="I784">
        <v>1.314906280725662</v>
      </c>
    </row>
    <row r="785" spans="1:9">
      <c r="A785">
        <v>1</v>
      </c>
      <c r="B785">
        <v>5</v>
      </c>
      <c r="C785" t="s">
        <v>87</v>
      </c>
      <c r="D785" t="s">
        <v>113</v>
      </c>
      <c r="E785" t="s">
        <v>23</v>
      </c>
      <c r="F785" t="s">
        <v>32</v>
      </c>
      <c r="G785" t="s">
        <v>37</v>
      </c>
      <c r="H785">
        <v>2021</v>
      </c>
      <c r="I785">
        <v>1.7049287469866716</v>
      </c>
    </row>
    <row r="786" spans="1:9">
      <c r="A786">
        <v>1</v>
      </c>
      <c r="B786">
        <v>5</v>
      </c>
      <c r="C786" t="s">
        <v>87</v>
      </c>
      <c r="D786" t="s">
        <v>113</v>
      </c>
      <c r="E786" t="s">
        <v>23</v>
      </c>
      <c r="F786" t="s">
        <v>32</v>
      </c>
      <c r="G786" t="s">
        <v>37</v>
      </c>
      <c r="H786">
        <v>2022</v>
      </c>
      <c r="I786">
        <v>2.5573205329984683</v>
      </c>
    </row>
    <row r="787" spans="1:9">
      <c r="A787">
        <v>1</v>
      </c>
      <c r="B787">
        <v>5</v>
      </c>
      <c r="C787" t="s">
        <v>87</v>
      </c>
      <c r="D787" t="s">
        <v>113</v>
      </c>
      <c r="E787" t="s">
        <v>23</v>
      </c>
      <c r="F787" t="s">
        <v>32</v>
      </c>
      <c r="G787" t="s">
        <v>37</v>
      </c>
      <c r="H787">
        <v>2023</v>
      </c>
      <c r="I787">
        <v>2.3532556186620077</v>
      </c>
    </row>
    <row r="788" spans="1:9">
      <c r="A788">
        <v>1</v>
      </c>
      <c r="B788">
        <v>5</v>
      </c>
      <c r="C788" t="s">
        <v>87</v>
      </c>
      <c r="D788" t="s">
        <v>113</v>
      </c>
      <c r="E788" t="s">
        <v>23</v>
      </c>
      <c r="F788" t="s">
        <v>32</v>
      </c>
      <c r="G788" t="s">
        <v>37</v>
      </c>
      <c r="H788">
        <v>2024</v>
      </c>
      <c r="I788">
        <v>1.8997832433496886</v>
      </c>
    </row>
    <row r="789" spans="1:9">
      <c r="A789">
        <v>1</v>
      </c>
      <c r="B789">
        <v>5</v>
      </c>
      <c r="C789" t="s">
        <v>87</v>
      </c>
      <c r="D789" t="s">
        <v>113</v>
      </c>
      <c r="E789" t="s">
        <v>23</v>
      </c>
      <c r="F789" t="s">
        <v>32</v>
      </c>
      <c r="G789" t="s">
        <v>37</v>
      </c>
      <c r="H789">
        <v>2025</v>
      </c>
      <c r="I789">
        <v>2.8143697722936114</v>
      </c>
    </row>
    <row r="790" spans="1:9">
      <c r="A790">
        <v>1</v>
      </c>
      <c r="B790">
        <v>5</v>
      </c>
      <c r="C790" t="s">
        <v>87</v>
      </c>
      <c r="D790" t="s">
        <v>113</v>
      </c>
      <c r="E790" t="s">
        <v>23</v>
      </c>
      <c r="F790" t="s">
        <v>32</v>
      </c>
      <c r="G790" t="s">
        <v>37</v>
      </c>
      <c r="H790">
        <v>2026</v>
      </c>
      <c r="I790">
        <v>3.0578503963647896</v>
      </c>
    </row>
    <row r="791" spans="1:9">
      <c r="A791">
        <v>1</v>
      </c>
      <c r="B791">
        <v>5</v>
      </c>
      <c r="C791" t="s">
        <v>87</v>
      </c>
      <c r="D791" t="s">
        <v>113</v>
      </c>
      <c r="E791" t="s">
        <v>23</v>
      </c>
      <c r="F791" t="s">
        <v>32</v>
      </c>
      <c r="G791" t="s">
        <v>37</v>
      </c>
      <c r="H791">
        <v>2027</v>
      </c>
      <c r="I791">
        <v>1.7579484467664053</v>
      </c>
    </row>
    <row r="792" spans="1:9">
      <c r="A792">
        <v>1</v>
      </c>
      <c r="B792">
        <v>5</v>
      </c>
      <c r="C792" t="s">
        <v>87</v>
      </c>
      <c r="D792" t="s">
        <v>113</v>
      </c>
      <c r="E792" t="s">
        <v>23</v>
      </c>
      <c r="F792" t="s">
        <v>32</v>
      </c>
      <c r="G792" t="s">
        <v>37</v>
      </c>
      <c r="H792">
        <v>2028</v>
      </c>
      <c r="I792">
        <v>1.9527823689504595</v>
      </c>
    </row>
    <row r="793" spans="1:9">
      <c r="A793">
        <v>1</v>
      </c>
      <c r="B793">
        <v>5</v>
      </c>
      <c r="C793" t="s">
        <v>87</v>
      </c>
      <c r="D793" t="s">
        <v>113</v>
      </c>
      <c r="E793" t="s">
        <v>23</v>
      </c>
      <c r="F793" t="s">
        <v>32</v>
      </c>
      <c r="G793" t="s">
        <v>37</v>
      </c>
      <c r="H793">
        <v>2029</v>
      </c>
      <c r="I793">
        <v>2.6888255850277893</v>
      </c>
    </row>
    <row r="794" spans="1:9">
      <c r="A794">
        <v>1</v>
      </c>
      <c r="B794">
        <v>5</v>
      </c>
      <c r="C794" t="s">
        <v>87</v>
      </c>
      <c r="D794" t="s">
        <v>113</v>
      </c>
      <c r="E794" t="s">
        <v>23</v>
      </c>
      <c r="F794" t="s">
        <v>32</v>
      </c>
      <c r="G794" t="s">
        <v>37</v>
      </c>
      <c r="H794">
        <v>2030</v>
      </c>
      <c r="I794">
        <v>2.2018352929967242</v>
      </c>
    </row>
    <row r="795" spans="1:9">
      <c r="A795">
        <v>1</v>
      </c>
      <c r="B795">
        <v>5</v>
      </c>
      <c r="C795" t="s">
        <v>87</v>
      </c>
      <c r="D795" t="s">
        <v>113</v>
      </c>
      <c r="E795" t="s">
        <v>23</v>
      </c>
      <c r="F795" t="s">
        <v>32</v>
      </c>
      <c r="G795" t="s">
        <v>37</v>
      </c>
      <c r="H795">
        <v>2031</v>
      </c>
      <c r="I795">
        <v>2.9450342631006707</v>
      </c>
    </row>
    <row r="796" spans="1:9">
      <c r="A796">
        <v>1</v>
      </c>
      <c r="B796">
        <v>5</v>
      </c>
      <c r="C796" t="s">
        <v>87</v>
      </c>
      <c r="D796" t="s">
        <v>113</v>
      </c>
      <c r="E796" t="s">
        <v>23</v>
      </c>
      <c r="F796" t="s">
        <v>32</v>
      </c>
      <c r="G796" t="s">
        <v>37</v>
      </c>
      <c r="H796">
        <v>2032</v>
      </c>
      <c r="I796">
        <v>3.4866378675576435</v>
      </c>
    </row>
    <row r="797" spans="1:9">
      <c r="A797">
        <v>1</v>
      </c>
      <c r="B797">
        <v>5</v>
      </c>
      <c r="C797" t="s">
        <v>87</v>
      </c>
      <c r="D797" t="s">
        <v>113</v>
      </c>
      <c r="E797" t="s">
        <v>23</v>
      </c>
      <c r="F797" t="s">
        <v>32</v>
      </c>
      <c r="G797" t="s">
        <v>38</v>
      </c>
      <c r="H797">
        <v>2018</v>
      </c>
      <c r="I797">
        <v>1.1375672496804428</v>
      </c>
    </row>
    <row r="798" spans="1:9">
      <c r="A798">
        <v>1</v>
      </c>
      <c r="B798">
        <v>5</v>
      </c>
      <c r="C798" t="s">
        <v>87</v>
      </c>
      <c r="D798" t="s">
        <v>113</v>
      </c>
      <c r="E798" t="s">
        <v>23</v>
      </c>
      <c r="F798" t="s">
        <v>32</v>
      </c>
      <c r="G798" t="s">
        <v>38</v>
      </c>
      <c r="H798">
        <v>2019</v>
      </c>
      <c r="I798">
        <v>0.88531550578268725</v>
      </c>
    </row>
    <row r="799" spans="1:9">
      <c r="A799">
        <v>1</v>
      </c>
      <c r="B799">
        <v>5</v>
      </c>
      <c r="C799" t="s">
        <v>87</v>
      </c>
      <c r="D799" t="s">
        <v>113</v>
      </c>
      <c r="E799" t="s">
        <v>23</v>
      </c>
      <c r="F799" t="s">
        <v>32</v>
      </c>
      <c r="G799" t="s">
        <v>38</v>
      </c>
      <c r="H799">
        <v>2020</v>
      </c>
      <c r="I799">
        <v>0.86175089134742366</v>
      </c>
    </row>
    <row r="800" spans="1:9">
      <c r="A800">
        <v>1</v>
      </c>
      <c r="B800">
        <v>5</v>
      </c>
      <c r="C800" t="s">
        <v>87</v>
      </c>
      <c r="D800" t="s">
        <v>113</v>
      </c>
      <c r="E800" t="s">
        <v>23</v>
      </c>
      <c r="F800" t="s">
        <v>32</v>
      </c>
      <c r="G800" t="s">
        <v>38</v>
      </c>
      <c r="H800">
        <v>2021</v>
      </c>
      <c r="I800">
        <v>0.79014933598699733</v>
      </c>
    </row>
    <row r="801" spans="1:9">
      <c r="A801">
        <v>1</v>
      </c>
      <c r="B801">
        <v>5</v>
      </c>
      <c r="C801" t="s">
        <v>87</v>
      </c>
      <c r="D801" t="s">
        <v>113</v>
      </c>
      <c r="E801" t="s">
        <v>23</v>
      </c>
      <c r="F801" t="s">
        <v>32</v>
      </c>
      <c r="G801" t="s">
        <v>38</v>
      </c>
      <c r="H801">
        <v>2022</v>
      </c>
      <c r="I801">
        <v>1.4322892323889711</v>
      </c>
    </row>
    <row r="802" spans="1:9">
      <c r="A802">
        <v>1</v>
      </c>
      <c r="B802">
        <v>5</v>
      </c>
      <c r="C802" t="s">
        <v>87</v>
      </c>
      <c r="D802" t="s">
        <v>113</v>
      </c>
      <c r="E802" t="s">
        <v>23</v>
      </c>
      <c r="F802" t="s">
        <v>32</v>
      </c>
      <c r="G802" t="s">
        <v>38</v>
      </c>
      <c r="H802">
        <v>2023</v>
      </c>
      <c r="I802">
        <v>0.93544135638463288</v>
      </c>
    </row>
    <row r="803" spans="1:9">
      <c r="A803">
        <v>1</v>
      </c>
      <c r="B803">
        <v>5</v>
      </c>
      <c r="C803" t="s">
        <v>87</v>
      </c>
      <c r="D803" t="s">
        <v>113</v>
      </c>
      <c r="E803" t="s">
        <v>23</v>
      </c>
      <c r="F803" t="s">
        <v>32</v>
      </c>
      <c r="G803" t="s">
        <v>38</v>
      </c>
      <c r="H803">
        <v>2024</v>
      </c>
      <c r="I803">
        <v>1.3447833663842914</v>
      </c>
    </row>
    <row r="804" spans="1:9">
      <c r="A804">
        <v>1</v>
      </c>
      <c r="B804">
        <v>5</v>
      </c>
      <c r="C804" t="s">
        <v>87</v>
      </c>
      <c r="D804" t="s">
        <v>113</v>
      </c>
      <c r="E804" t="s">
        <v>23</v>
      </c>
      <c r="F804" t="s">
        <v>32</v>
      </c>
      <c r="G804" t="s">
        <v>38</v>
      </c>
      <c r="H804">
        <v>2025</v>
      </c>
      <c r="I804">
        <v>1.1027172398554768</v>
      </c>
    </row>
    <row r="805" spans="1:9">
      <c r="A805">
        <v>1</v>
      </c>
      <c r="B805">
        <v>5</v>
      </c>
      <c r="C805" t="s">
        <v>87</v>
      </c>
      <c r="D805" t="s">
        <v>113</v>
      </c>
      <c r="E805" t="s">
        <v>23</v>
      </c>
      <c r="F805" t="s">
        <v>32</v>
      </c>
      <c r="G805" t="s">
        <v>38</v>
      </c>
      <c r="H805">
        <v>2026</v>
      </c>
      <c r="I805">
        <v>1.4354369696523064</v>
      </c>
    </row>
    <row r="806" spans="1:9">
      <c r="A806">
        <v>1</v>
      </c>
      <c r="B806">
        <v>5</v>
      </c>
      <c r="C806" t="s">
        <v>87</v>
      </c>
      <c r="D806" t="s">
        <v>113</v>
      </c>
      <c r="E806" t="s">
        <v>23</v>
      </c>
      <c r="F806" t="s">
        <v>32</v>
      </c>
      <c r="G806" t="s">
        <v>38</v>
      </c>
      <c r="H806">
        <v>2027</v>
      </c>
      <c r="I806">
        <v>1.5265962271623112</v>
      </c>
    </row>
    <row r="807" spans="1:9">
      <c r="A807">
        <v>1</v>
      </c>
      <c r="B807">
        <v>5</v>
      </c>
      <c r="C807" t="s">
        <v>87</v>
      </c>
      <c r="D807" t="s">
        <v>113</v>
      </c>
      <c r="E807" t="s">
        <v>23</v>
      </c>
      <c r="F807" t="s">
        <v>32</v>
      </c>
      <c r="G807" t="s">
        <v>38</v>
      </c>
      <c r="H807">
        <v>2028</v>
      </c>
      <c r="I807">
        <v>1.4289537138489865</v>
      </c>
    </row>
    <row r="808" spans="1:9">
      <c r="A808">
        <v>1</v>
      </c>
      <c r="B808">
        <v>5</v>
      </c>
      <c r="C808" t="s">
        <v>87</v>
      </c>
      <c r="D808" t="s">
        <v>113</v>
      </c>
      <c r="E808" t="s">
        <v>23</v>
      </c>
      <c r="F808" t="s">
        <v>32</v>
      </c>
      <c r="G808" t="s">
        <v>38</v>
      </c>
      <c r="H808">
        <v>2029</v>
      </c>
      <c r="I808">
        <v>1.5795450278963759</v>
      </c>
    </row>
    <row r="809" spans="1:9">
      <c r="A809">
        <v>1</v>
      </c>
      <c r="B809">
        <v>5</v>
      </c>
      <c r="C809" t="s">
        <v>87</v>
      </c>
      <c r="D809" t="s">
        <v>113</v>
      </c>
      <c r="E809" t="s">
        <v>23</v>
      </c>
      <c r="F809" t="s">
        <v>32</v>
      </c>
      <c r="G809" t="s">
        <v>38</v>
      </c>
      <c r="H809">
        <v>2030</v>
      </c>
      <c r="I809">
        <v>1.1644752721307248</v>
      </c>
    </row>
    <row r="810" spans="1:9">
      <c r="A810">
        <v>1</v>
      </c>
      <c r="B810">
        <v>5</v>
      </c>
      <c r="C810" t="s">
        <v>87</v>
      </c>
      <c r="D810" t="s">
        <v>113</v>
      </c>
      <c r="E810" t="s">
        <v>23</v>
      </c>
      <c r="F810" t="s">
        <v>32</v>
      </c>
      <c r="G810" t="s">
        <v>38</v>
      </c>
      <c r="H810">
        <v>2031</v>
      </c>
      <c r="I810">
        <v>1.2722232395521933</v>
      </c>
    </row>
    <row r="811" spans="1:9">
      <c r="A811">
        <v>1</v>
      </c>
      <c r="B811">
        <v>5</v>
      </c>
      <c r="C811" t="s">
        <v>87</v>
      </c>
      <c r="D811" t="s">
        <v>113</v>
      </c>
      <c r="E811" t="s">
        <v>23</v>
      </c>
      <c r="F811" t="s">
        <v>32</v>
      </c>
      <c r="G811" t="s">
        <v>38</v>
      </c>
      <c r="H811">
        <v>2032</v>
      </c>
      <c r="I811">
        <v>1.1439187825727839</v>
      </c>
    </row>
    <row r="812" spans="1:9">
      <c r="A812">
        <v>1</v>
      </c>
      <c r="B812">
        <v>5</v>
      </c>
      <c r="C812" t="s">
        <v>87</v>
      </c>
      <c r="D812" t="s">
        <v>114</v>
      </c>
      <c r="E812" t="s">
        <v>25</v>
      </c>
      <c r="F812" t="s">
        <v>115</v>
      </c>
      <c r="G812" t="s">
        <v>37</v>
      </c>
      <c r="H812">
        <v>2018</v>
      </c>
      <c r="I812">
        <v>1.3465579247578872</v>
      </c>
    </row>
    <row r="813" spans="1:9">
      <c r="A813">
        <v>1</v>
      </c>
      <c r="B813">
        <v>5</v>
      </c>
      <c r="C813" t="s">
        <v>87</v>
      </c>
      <c r="D813" t="s">
        <v>114</v>
      </c>
      <c r="E813" t="s">
        <v>25</v>
      </c>
      <c r="F813" t="s">
        <v>115</v>
      </c>
      <c r="G813" t="s">
        <v>37</v>
      </c>
      <c r="H813">
        <v>2019</v>
      </c>
      <c r="I813">
        <v>1.9759449518355634</v>
      </c>
    </row>
    <row r="814" spans="1:9">
      <c r="A814">
        <v>1</v>
      </c>
      <c r="B814">
        <v>5</v>
      </c>
      <c r="C814" t="s">
        <v>87</v>
      </c>
      <c r="D814" t="s">
        <v>114</v>
      </c>
      <c r="E814" t="s">
        <v>25</v>
      </c>
      <c r="F814" t="s">
        <v>115</v>
      </c>
      <c r="G814" t="s">
        <v>37</v>
      </c>
      <c r="H814">
        <v>2020</v>
      </c>
      <c r="I814">
        <v>1.8900547249964514</v>
      </c>
    </row>
    <row r="815" spans="1:9">
      <c r="A815">
        <v>1</v>
      </c>
      <c r="B815">
        <v>5</v>
      </c>
      <c r="C815" t="s">
        <v>87</v>
      </c>
      <c r="D815" t="s">
        <v>114</v>
      </c>
      <c r="E815" t="s">
        <v>25</v>
      </c>
      <c r="F815" t="s">
        <v>115</v>
      </c>
      <c r="G815" t="s">
        <v>37</v>
      </c>
      <c r="H815">
        <v>2021</v>
      </c>
      <c r="I815">
        <v>2.9413751527700986</v>
      </c>
    </row>
    <row r="816" spans="1:9">
      <c r="A816">
        <v>1</v>
      </c>
      <c r="B816">
        <v>5</v>
      </c>
      <c r="C816" t="s">
        <v>87</v>
      </c>
      <c r="D816" t="s">
        <v>114</v>
      </c>
      <c r="E816" t="s">
        <v>25</v>
      </c>
      <c r="F816" t="s">
        <v>115</v>
      </c>
      <c r="G816" t="s">
        <v>37</v>
      </c>
      <c r="H816">
        <v>2022</v>
      </c>
      <c r="I816">
        <v>2.5993194085795395</v>
      </c>
    </row>
    <row r="817" spans="1:9">
      <c r="A817">
        <v>1</v>
      </c>
      <c r="B817">
        <v>5</v>
      </c>
      <c r="C817" t="s">
        <v>87</v>
      </c>
      <c r="D817" t="s">
        <v>114</v>
      </c>
      <c r="E817" t="s">
        <v>25</v>
      </c>
      <c r="F817" t="s">
        <v>115</v>
      </c>
      <c r="G817" t="s">
        <v>37</v>
      </c>
      <c r="H817">
        <v>2023</v>
      </c>
      <c r="I817">
        <v>1.7180068237659782</v>
      </c>
    </row>
    <row r="818" spans="1:9">
      <c r="A818">
        <v>1</v>
      </c>
      <c r="B818">
        <v>5</v>
      </c>
      <c r="C818" t="s">
        <v>87</v>
      </c>
      <c r="D818" t="s">
        <v>114</v>
      </c>
      <c r="E818" t="s">
        <v>25</v>
      </c>
      <c r="F818" t="s">
        <v>115</v>
      </c>
      <c r="G818" t="s">
        <v>37</v>
      </c>
      <c r="H818">
        <v>2024</v>
      </c>
      <c r="I818">
        <v>2.5348161929340516</v>
      </c>
    </row>
    <row r="819" spans="1:9">
      <c r="A819">
        <v>1</v>
      </c>
      <c r="B819">
        <v>5</v>
      </c>
      <c r="C819" t="s">
        <v>87</v>
      </c>
      <c r="D819" t="s">
        <v>114</v>
      </c>
      <c r="E819" t="s">
        <v>25</v>
      </c>
      <c r="F819" t="s">
        <v>115</v>
      </c>
      <c r="G819" t="s">
        <v>37</v>
      </c>
      <c r="H819">
        <v>2025</v>
      </c>
      <c r="I819">
        <v>2.731863316790661</v>
      </c>
    </row>
    <row r="820" spans="1:9">
      <c r="A820">
        <v>1</v>
      </c>
      <c r="B820">
        <v>5</v>
      </c>
      <c r="C820" t="s">
        <v>87</v>
      </c>
      <c r="D820" t="s">
        <v>114</v>
      </c>
      <c r="E820" t="s">
        <v>25</v>
      </c>
      <c r="F820" t="s">
        <v>115</v>
      </c>
      <c r="G820" t="s">
        <v>37</v>
      </c>
      <c r="H820">
        <v>2026</v>
      </c>
      <c r="I820">
        <v>2.7439170498981653</v>
      </c>
    </row>
    <row r="821" spans="1:9">
      <c r="A821">
        <v>1</v>
      </c>
      <c r="B821">
        <v>5</v>
      </c>
      <c r="C821" t="s">
        <v>87</v>
      </c>
      <c r="D821" t="s">
        <v>114</v>
      </c>
      <c r="E821" t="s">
        <v>25</v>
      </c>
      <c r="F821" t="s">
        <v>115</v>
      </c>
      <c r="G821" t="s">
        <v>37</v>
      </c>
      <c r="H821">
        <v>2027</v>
      </c>
      <c r="I821">
        <v>2.4708502823861913</v>
      </c>
    </row>
    <row r="822" spans="1:9">
      <c r="A822">
        <v>1</v>
      </c>
      <c r="B822">
        <v>5</v>
      </c>
      <c r="C822" t="s">
        <v>87</v>
      </c>
      <c r="D822" t="s">
        <v>114</v>
      </c>
      <c r="E822" t="s">
        <v>25</v>
      </c>
      <c r="F822" t="s">
        <v>115</v>
      </c>
      <c r="G822" t="s">
        <v>37</v>
      </c>
      <c r="H822">
        <v>2028</v>
      </c>
      <c r="I822">
        <v>3.1240922464775194</v>
      </c>
    </row>
    <row r="823" spans="1:9">
      <c r="A823">
        <v>1</v>
      </c>
      <c r="B823">
        <v>5</v>
      </c>
      <c r="C823" t="s">
        <v>87</v>
      </c>
      <c r="D823" t="s">
        <v>114</v>
      </c>
      <c r="E823" t="s">
        <v>25</v>
      </c>
      <c r="F823" t="s">
        <v>115</v>
      </c>
      <c r="G823" t="s">
        <v>37</v>
      </c>
      <c r="H823">
        <v>2029</v>
      </c>
      <c r="I823">
        <v>3.6548113487932037</v>
      </c>
    </row>
    <row r="824" spans="1:9">
      <c r="A824">
        <v>1</v>
      </c>
      <c r="B824">
        <v>5</v>
      </c>
      <c r="C824" t="s">
        <v>87</v>
      </c>
      <c r="D824" t="s">
        <v>114</v>
      </c>
      <c r="E824" t="s">
        <v>25</v>
      </c>
      <c r="F824" t="s">
        <v>115</v>
      </c>
      <c r="G824" t="s">
        <v>37</v>
      </c>
      <c r="H824">
        <v>2030</v>
      </c>
      <c r="I824">
        <v>2.6353022422492094</v>
      </c>
    </row>
    <row r="825" spans="1:9">
      <c r="A825">
        <v>1</v>
      </c>
      <c r="B825">
        <v>5</v>
      </c>
      <c r="C825" t="s">
        <v>87</v>
      </c>
      <c r="D825" t="s">
        <v>114</v>
      </c>
      <c r="E825" t="s">
        <v>25</v>
      </c>
      <c r="F825" t="s">
        <v>115</v>
      </c>
      <c r="G825" t="s">
        <v>37</v>
      </c>
      <c r="H825">
        <v>2031</v>
      </c>
      <c r="I825">
        <v>3.7966747972986097</v>
      </c>
    </row>
    <row r="826" spans="1:9">
      <c r="A826">
        <v>1</v>
      </c>
      <c r="B826">
        <v>5</v>
      </c>
      <c r="C826" t="s">
        <v>87</v>
      </c>
      <c r="D826" t="s">
        <v>114</v>
      </c>
      <c r="E826" t="s">
        <v>25</v>
      </c>
      <c r="F826" t="s">
        <v>115</v>
      </c>
      <c r="G826" t="s">
        <v>37</v>
      </c>
      <c r="H826">
        <v>2032</v>
      </c>
      <c r="I826">
        <v>4.1860225076876478</v>
      </c>
    </row>
    <row r="827" spans="1:9">
      <c r="A827">
        <v>1</v>
      </c>
      <c r="B827">
        <v>5</v>
      </c>
      <c r="C827" t="s">
        <v>87</v>
      </c>
      <c r="D827" t="s">
        <v>114</v>
      </c>
      <c r="E827" t="s">
        <v>25</v>
      </c>
      <c r="F827" t="s">
        <v>115</v>
      </c>
      <c r="G827" t="s">
        <v>38</v>
      </c>
      <c r="H827">
        <v>2018</v>
      </c>
      <c r="I827">
        <v>1.0987864870648725</v>
      </c>
    </row>
    <row r="828" spans="1:9">
      <c r="A828">
        <v>1</v>
      </c>
      <c r="B828">
        <v>5</v>
      </c>
      <c r="C828" t="s">
        <v>87</v>
      </c>
      <c r="D828" t="s">
        <v>114</v>
      </c>
      <c r="E828" t="s">
        <v>25</v>
      </c>
      <c r="F828" t="s">
        <v>115</v>
      </c>
      <c r="G828" t="s">
        <v>38</v>
      </c>
      <c r="H828">
        <v>2019</v>
      </c>
      <c r="I828">
        <v>0.86900679220195287</v>
      </c>
    </row>
    <row r="829" spans="1:9">
      <c r="A829">
        <v>1</v>
      </c>
      <c r="B829">
        <v>5</v>
      </c>
      <c r="C829" t="s">
        <v>87</v>
      </c>
      <c r="D829" t="s">
        <v>114</v>
      </c>
      <c r="E829" t="s">
        <v>25</v>
      </c>
      <c r="F829" t="s">
        <v>115</v>
      </c>
      <c r="G829" t="s">
        <v>38</v>
      </c>
      <c r="H829">
        <v>2020</v>
      </c>
      <c r="I829">
        <v>0.74580627881374695</v>
      </c>
    </row>
    <row r="830" spans="1:9">
      <c r="A830">
        <v>1</v>
      </c>
      <c r="B830">
        <v>5</v>
      </c>
      <c r="C830" t="s">
        <v>87</v>
      </c>
      <c r="D830" t="s">
        <v>114</v>
      </c>
      <c r="E830" t="s">
        <v>25</v>
      </c>
      <c r="F830" t="s">
        <v>115</v>
      </c>
      <c r="G830" t="s">
        <v>38</v>
      </c>
      <c r="H830">
        <v>2021</v>
      </c>
      <c r="I830">
        <v>1.4119139459142953</v>
      </c>
    </row>
    <row r="831" spans="1:9">
      <c r="A831">
        <v>1</v>
      </c>
      <c r="B831">
        <v>5</v>
      </c>
      <c r="C831" t="s">
        <v>87</v>
      </c>
      <c r="D831" t="s">
        <v>114</v>
      </c>
      <c r="E831" t="s">
        <v>25</v>
      </c>
      <c r="F831" t="s">
        <v>115</v>
      </c>
      <c r="G831" t="s">
        <v>38</v>
      </c>
      <c r="H831">
        <v>2022</v>
      </c>
      <c r="I831">
        <v>1.2943344956987244</v>
      </c>
    </row>
    <row r="832" spans="1:9">
      <c r="A832">
        <v>1</v>
      </c>
      <c r="B832">
        <v>5</v>
      </c>
      <c r="C832" t="s">
        <v>87</v>
      </c>
      <c r="D832" t="s">
        <v>114</v>
      </c>
      <c r="E832" t="s">
        <v>25</v>
      </c>
      <c r="F832" t="s">
        <v>115</v>
      </c>
      <c r="G832" t="s">
        <v>38</v>
      </c>
      <c r="H832">
        <v>2023</v>
      </c>
      <c r="I832">
        <v>1.2866871886382538</v>
      </c>
    </row>
    <row r="833" spans="1:9">
      <c r="A833">
        <v>1</v>
      </c>
      <c r="B833">
        <v>5</v>
      </c>
      <c r="C833" t="s">
        <v>87</v>
      </c>
      <c r="D833" t="s">
        <v>114</v>
      </c>
      <c r="E833" t="s">
        <v>25</v>
      </c>
      <c r="F833" t="s">
        <v>115</v>
      </c>
      <c r="G833" t="s">
        <v>38</v>
      </c>
      <c r="H833">
        <v>2024</v>
      </c>
      <c r="I833">
        <v>1.4211396986036671</v>
      </c>
    </row>
    <row r="834" spans="1:9">
      <c r="A834">
        <v>1</v>
      </c>
      <c r="B834">
        <v>5</v>
      </c>
      <c r="C834" t="s">
        <v>87</v>
      </c>
      <c r="D834" t="s">
        <v>114</v>
      </c>
      <c r="E834" t="s">
        <v>25</v>
      </c>
      <c r="F834" t="s">
        <v>115</v>
      </c>
      <c r="G834" t="s">
        <v>38</v>
      </c>
      <c r="H834">
        <v>2025</v>
      </c>
      <c r="I834">
        <v>1.5158648315328882</v>
      </c>
    </row>
    <row r="835" spans="1:9">
      <c r="A835">
        <v>1</v>
      </c>
      <c r="B835">
        <v>5</v>
      </c>
      <c r="C835" t="s">
        <v>87</v>
      </c>
      <c r="D835" t="s">
        <v>114</v>
      </c>
      <c r="E835" t="s">
        <v>25</v>
      </c>
      <c r="F835" t="s">
        <v>115</v>
      </c>
      <c r="G835" t="s">
        <v>38</v>
      </c>
      <c r="H835">
        <v>2026</v>
      </c>
      <c r="I835">
        <v>1.2948252039672148</v>
      </c>
    </row>
    <row r="836" spans="1:9">
      <c r="A836">
        <v>1</v>
      </c>
      <c r="B836">
        <v>5</v>
      </c>
      <c r="C836" t="s">
        <v>87</v>
      </c>
      <c r="D836" t="s">
        <v>114</v>
      </c>
      <c r="E836" t="s">
        <v>25</v>
      </c>
      <c r="F836" t="s">
        <v>115</v>
      </c>
      <c r="G836" t="s">
        <v>38</v>
      </c>
      <c r="H836">
        <v>2027</v>
      </c>
      <c r="I836">
        <v>1.1812339238435206</v>
      </c>
    </row>
    <row r="837" spans="1:9">
      <c r="A837">
        <v>1</v>
      </c>
      <c r="B837">
        <v>5</v>
      </c>
      <c r="C837" t="s">
        <v>87</v>
      </c>
      <c r="D837" t="s">
        <v>114</v>
      </c>
      <c r="E837" t="s">
        <v>25</v>
      </c>
      <c r="F837" t="s">
        <v>115</v>
      </c>
      <c r="G837" t="s">
        <v>38</v>
      </c>
      <c r="H837">
        <v>2028</v>
      </c>
      <c r="I837">
        <v>1.693414942143278</v>
      </c>
    </row>
    <row r="838" spans="1:9">
      <c r="A838">
        <v>1</v>
      </c>
      <c r="B838">
        <v>5</v>
      </c>
      <c r="C838" t="s">
        <v>87</v>
      </c>
      <c r="D838" t="s">
        <v>114</v>
      </c>
      <c r="E838" t="s">
        <v>25</v>
      </c>
      <c r="F838" t="s">
        <v>115</v>
      </c>
      <c r="G838" t="s">
        <v>38</v>
      </c>
      <c r="H838">
        <v>2029</v>
      </c>
      <c r="I838">
        <v>1.1887299087624048</v>
      </c>
    </row>
    <row r="839" spans="1:9">
      <c r="A839">
        <v>1</v>
      </c>
      <c r="B839">
        <v>5</v>
      </c>
      <c r="C839" t="s">
        <v>87</v>
      </c>
      <c r="D839" t="s">
        <v>114</v>
      </c>
      <c r="E839" t="s">
        <v>25</v>
      </c>
      <c r="F839" t="s">
        <v>115</v>
      </c>
      <c r="G839" t="s">
        <v>38</v>
      </c>
      <c r="H839">
        <v>2030</v>
      </c>
      <c r="I839">
        <v>1.8796196465709381</v>
      </c>
    </row>
    <row r="840" spans="1:9">
      <c r="A840">
        <v>1</v>
      </c>
      <c r="B840">
        <v>5</v>
      </c>
      <c r="C840" t="s">
        <v>87</v>
      </c>
      <c r="D840" t="s">
        <v>114</v>
      </c>
      <c r="E840" t="s">
        <v>25</v>
      </c>
      <c r="F840" t="s">
        <v>115</v>
      </c>
      <c r="G840" t="s">
        <v>38</v>
      </c>
      <c r="H840">
        <v>2031</v>
      </c>
      <c r="I840">
        <v>1.7660688548806565</v>
      </c>
    </row>
    <row r="841" spans="1:9">
      <c r="A841">
        <v>1</v>
      </c>
      <c r="B841">
        <v>5</v>
      </c>
      <c r="C841" t="s">
        <v>87</v>
      </c>
      <c r="D841" t="s">
        <v>114</v>
      </c>
      <c r="E841" t="s">
        <v>25</v>
      </c>
      <c r="F841" t="s">
        <v>115</v>
      </c>
      <c r="G841" t="s">
        <v>38</v>
      </c>
      <c r="H841">
        <v>2032</v>
      </c>
      <c r="I841">
        <v>1.6933520128309634</v>
      </c>
    </row>
    <row r="842" spans="1:9">
      <c r="A842">
        <v>1</v>
      </c>
      <c r="B842">
        <v>5</v>
      </c>
      <c r="C842" t="s">
        <v>87</v>
      </c>
      <c r="D842" t="s">
        <v>114</v>
      </c>
      <c r="E842" t="s">
        <v>25</v>
      </c>
      <c r="F842" t="s">
        <v>116</v>
      </c>
      <c r="G842" t="s">
        <v>37</v>
      </c>
      <c r="H842">
        <v>2018</v>
      </c>
      <c r="I842">
        <v>0.74168569375797155</v>
      </c>
    </row>
    <row r="843" spans="1:9">
      <c r="A843">
        <v>1</v>
      </c>
      <c r="B843">
        <v>5</v>
      </c>
      <c r="C843" t="s">
        <v>87</v>
      </c>
      <c r="D843" t="s">
        <v>114</v>
      </c>
      <c r="E843" t="s">
        <v>25</v>
      </c>
      <c r="F843" t="s">
        <v>116</v>
      </c>
      <c r="G843" t="s">
        <v>37</v>
      </c>
      <c r="H843">
        <v>2019</v>
      </c>
      <c r="I843">
        <v>1.0972585252020397</v>
      </c>
    </row>
    <row r="844" spans="1:9">
      <c r="A844">
        <v>1</v>
      </c>
      <c r="B844">
        <v>5</v>
      </c>
      <c r="C844" t="s">
        <v>87</v>
      </c>
      <c r="D844" t="s">
        <v>114</v>
      </c>
      <c r="E844" t="s">
        <v>25</v>
      </c>
      <c r="F844" t="s">
        <v>116</v>
      </c>
      <c r="G844" t="s">
        <v>37</v>
      </c>
      <c r="H844">
        <v>2020</v>
      </c>
      <c r="I844">
        <v>1.0969494885274782</v>
      </c>
    </row>
    <row r="845" spans="1:9">
      <c r="A845">
        <v>1</v>
      </c>
      <c r="B845">
        <v>5</v>
      </c>
      <c r="C845" t="s">
        <v>87</v>
      </c>
      <c r="D845" t="s">
        <v>114</v>
      </c>
      <c r="E845" t="s">
        <v>25</v>
      </c>
      <c r="F845" t="s">
        <v>116</v>
      </c>
      <c r="G845" t="s">
        <v>37</v>
      </c>
      <c r="H845">
        <v>2021</v>
      </c>
      <c r="I845">
        <v>0.93450573178652496</v>
      </c>
    </row>
    <row r="846" spans="1:9">
      <c r="A846">
        <v>1</v>
      </c>
      <c r="B846">
        <v>5</v>
      </c>
      <c r="C846" t="s">
        <v>87</v>
      </c>
      <c r="D846" t="s">
        <v>114</v>
      </c>
      <c r="E846" t="s">
        <v>25</v>
      </c>
      <c r="F846" t="s">
        <v>116</v>
      </c>
      <c r="G846" t="s">
        <v>37</v>
      </c>
      <c r="H846">
        <v>2022</v>
      </c>
      <c r="I846">
        <v>0.83421496777485515</v>
      </c>
    </row>
    <row r="847" spans="1:9">
      <c r="A847">
        <v>1</v>
      </c>
      <c r="B847">
        <v>5</v>
      </c>
      <c r="C847" t="s">
        <v>87</v>
      </c>
      <c r="D847" t="s">
        <v>114</v>
      </c>
      <c r="E847" t="s">
        <v>25</v>
      </c>
      <c r="F847" t="s">
        <v>116</v>
      </c>
      <c r="G847" t="s">
        <v>37</v>
      </c>
      <c r="H847">
        <v>2023</v>
      </c>
      <c r="I847">
        <v>1.1295525298661744</v>
      </c>
    </row>
    <row r="848" spans="1:9">
      <c r="A848">
        <v>1</v>
      </c>
      <c r="B848">
        <v>5</v>
      </c>
      <c r="C848" t="s">
        <v>87</v>
      </c>
      <c r="D848" t="s">
        <v>114</v>
      </c>
      <c r="E848" t="s">
        <v>25</v>
      </c>
      <c r="F848" t="s">
        <v>116</v>
      </c>
      <c r="G848" t="s">
        <v>37</v>
      </c>
      <c r="H848">
        <v>2024</v>
      </c>
      <c r="I848">
        <v>1.4419319192839524</v>
      </c>
    </row>
    <row r="849" spans="1:9">
      <c r="A849">
        <v>1</v>
      </c>
      <c r="B849">
        <v>5</v>
      </c>
      <c r="C849" t="s">
        <v>87</v>
      </c>
      <c r="D849" t="s">
        <v>114</v>
      </c>
      <c r="E849" t="s">
        <v>25</v>
      </c>
      <c r="F849" t="s">
        <v>116</v>
      </c>
      <c r="G849" t="s">
        <v>37</v>
      </c>
      <c r="H849">
        <v>2025</v>
      </c>
      <c r="I849">
        <v>0.93556676954621143</v>
      </c>
    </row>
    <row r="850" spans="1:9">
      <c r="A850">
        <v>1</v>
      </c>
      <c r="B850">
        <v>5</v>
      </c>
      <c r="C850" t="s">
        <v>87</v>
      </c>
      <c r="D850" t="s">
        <v>114</v>
      </c>
      <c r="E850" t="s">
        <v>25</v>
      </c>
      <c r="F850" t="s">
        <v>116</v>
      </c>
      <c r="G850" t="s">
        <v>37</v>
      </c>
      <c r="H850">
        <v>2026</v>
      </c>
      <c r="I850">
        <v>0.97427509615450547</v>
      </c>
    </row>
    <row r="851" spans="1:9">
      <c r="A851">
        <v>1</v>
      </c>
      <c r="B851">
        <v>5</v>
      </c>
      <c r="C851" t="s">
        <v>87</v>
      </c>
      <c r="D851" t="s">
        <v>114</v>
      </c>
      <c r="E851" t="s">
        <v>25</v>
      </c>
      <c r="F851" t="s">
        <v>116</v>
      </c>
      <c r="G851" t="s">
        <v>37</v>
      </c>
      <c r="H851">
        <v>2027</v>
      </c>
      <c r="I851">
        <v>1.3633702516836341</v>
      </c>
    </row>
    <row r="852" spans="1:9">
      <c r="A852">
        <v>1</v>
      </c>
      <c r="B852">
        <v>5</v>
      </c>
      <c r="C852" t="s">
        <v>87</v>
      </c>
      <c r="D852" t="s">
        <v>114</v>
      </c>
      <c r="E852" t="s">
        <v>25</v>
      </c>
      <c r="F852" t="s">
        <v>116</v>
      </c>
      <c r="G852" t="s">
        <v>37</v>
      </c>
      <c r="H852">
        <v>2028</v>
      </c>
      <c r="I852">
        <v>1.6998372036383536</v>
      </c>
    </row>
    <row r="853" spans="1:9">
      <c r="A853">
        <v>1</v>
      </c>
      <c r="B853">
        <v>5</v>
      </c>
      <c r="C853" t="s">
        <v>87</v>
      </c>
      <c r="D853" t="s">
        <v>114</v>
      </c>
      <c r="E853" t="s">
        <v>25</v>
      </c>
      <c r="F853" t="s">
        <v>116</v>
      </c>
      <c r="G853" t="s">
        <v>37</v>
      </c>
      <c r="H853">
        <v>2029</v>
      </c>
      <c r="I853">
        <v>1.5895362744621584</v>
      </c>
    </row>
    <row r="854" spans="1:9">
      <c r="A854">
        <v>1</v>
      </c>
      <c r="B854">
        <v>5</v>
      </c>
      <c r="C854" t="s">
        <v>87</v>
      </c>
      <c r="D854" t="s">
        <v>114</v>
      </c>
      <c r="E854" t="s">
        <v>25</v>
      </c>
      <c r="F854" t="s">
        <v>116</v>
      </c>
      <c r="G854" t="s">
        <v>37</v>
      </c>
      <c r="H854">
        <v>2030</v>
      </c>
      <c r="I854">
        <v>1.5882736355748452</v>
      </c>
    </row>
    <row r="855" spans="1:9">
      <c r="A855">
        <v>1</v>
      </c>
      <c r="B855">
        <v>5</v>
      </c>
      <c r="C855" t="s">
        <v>87</v>
      </c>
      <c r="D855" t="s">
        <v>114</v>
      </c>
      <c r="E855" t="s">
        <v>25</v>
      </c>
      <c r="F855" t="s">
        <v>116</v>
      </c>
      <c r="G855" t="s">
        <v>37</v>
      </c>
      <c r="H855">
        <v>2031</v>
      </c>
      <c r="I855">
        <v>1.3940281373757202</v>
      </c>
    </row>
    <row r="856" spans="1:9">
      <c r="A856">
        <v>1</v>
      </c>
      <c r="B856">
        <v>5</v>
      </c>
      <c r="C856" t="s">
        <v>87</v>
      </c>
      <c r="D856" t="s">
        <v>114</v>
      </c>
      <c r="E856" t="s">
        <v>25</v>
      </c>
      <c r="F856" t="s">
        <v>116</v>
      </c>
      <c r="G856" t="s">
        <v>37</v>
      </c>
      <c r="H856">
        <v>2032</v>
      </c>
      <c r="I856">
        <v>1.3160422887746979</v>
      </c>
    </row>
    <row r="857" spans="1:9">
      <c r="A857">
        <v>1</v>
      </c>
      <c r="B857">
        <v>5</v>
      </c>
      <c r="C857" t="s">
        <v>87</v>
      </c>
      <c r="D857" t="s">
        <v>114</v>
      </c>
      <c r="E857" t="s">
        <v>25</v>
      </c>
      <c r="F857" t="s">
        <v>116</v>
      </c>
      <c r="G857" t="s">
        <v>38</v>
      </c>
      <c r="H857">
        <v>2018</v>
      </c>
      <c r="I857">
        <v>0.3606435515829397</v>
      </c>
    </row>
    <row r="858" spans="1:9">
      <c r="A858">
        <v>1</v>
      </c>
      <c r="B858">
        <v>5</v>
      </c>
      <c r="C858" t="s">
        <v>87</v>
      </c>
      <c r="D858" t="s">
        <v>114</v>
      </c>
      <c r="E858" t="s">
        <v>25</v>
      </c>
      <c r="F858" t="s">
        <v>116</v>
      </c>
      <c r="G858" t="s">
        <v>38</v>
      </c>
      <c r="H858">
        <v>2019</v>
      </c>
      <c r="I858">
        <v>0.4262741593679179</v>
      </c>
    </row>
    <row r="859" spans="1:9">
      <c r="A859">
        <v>1</v>
      </c>
      <c r="B859">
        <v>5</v>
      </c>
      <c r="C859" t="s">
        <v>87</v>
      </c>
      <c r="D859" t="s">
        <v>114</v>
      </c>
      <c r="E859" t="s">
        <v>25</v>
      </c>
      <c r="F859" t="s">
        <v>116</v>
      </c>
      <c r="G859" t="s">
        <v>38</v>
      </c>
      <c r="H859">
        <v>2020</v>
      </c>
      <c r="I859">
        <v>0.32640110790781263</v>
      </c>
    </row>
    <row r="860" spans="1:9">
      <c r="A860">
        <v>1</v>
      </c>
      <c r="B860">
        <v>5</v>
      </c>
      <c r="C860" t="s">
        <v>87</v>
      </c>
      <c r="D860" t="s">
        <v>114</v>
      </c>
      <c r="E860" t="s">
        <v>25</v>
      </c>
      <c r="F860" t="s">
        <v>116</v>
      </c>
      <c r="G860" t="s">
        <v>38</v>
      </c>
      <c r="H860">
        <v>2021</v>
      </c>
      <c r="I860">
        <v>0.68201147974997611</v>
      </c>
    </row>
    <row r="861" spans="1:9">
      <c r="A861">
        <v>1</v>
      </c>
      <c r="B861">
        <v>5</v>
      </c>
      <c r="C861" t="s">
        <v>87</v>
      </c>
      <c r="D861" t="s">
        <v>114</v>
      </c>
      <c r="E861" t="s">
        <v>25</v>
      </c>
      <c r="F861" t="s">
        <v>116</v>
      </c>
      <c r="G861" t="s">
        <v>38</v>
      </c>
      <c r="H861">
        <v>2022</v>
      </c>
      <c r="I861">
        <v>0.61741862178561124</v>
      </c>
    </row>
    <row r="862" spans="1:9">
      <c r="A862">
        <v>1</v>
      </c>
      <c r="B862">
        <v>5</v>
      </c>
      <c r="C862" t="s">
        <v>87</v>
      </c>
      <c r="D862" t="s">
        <v>114</v>
      </c>
      <c r="E862" t="s">
        <v>25</v>
      </c>
      <c r="F862" t="s">
        <v>116</v>
      </c>
      <c r="G862" t="s">
        <v>38</v>
      </c>
      <c r="H862">
        <v>2023</v>
      </c>
      <c r="I862">
        <v>0.375661729892111</v>
      </c>
    </row>
    <row r="863" spans="1:9">
      <c r="A863">
        <v>1</v>
      </c>
      <c r="B863">
        <v>5</v>
      </c>
      <c r="C863" t="s">
        <v>87</v>
      </c>
      <c r="D863" t="s">
        <v>114</v>
      </c>
      <c r="E863" t="s">
        <v>25</v>
      </c>
      <c r="F863" t="s">
        <v>116</v>
      </c>
      <c r="G863" t="s">
        <v>38</v>
      </c>
      <c r="H863">
        <v>2024</v>
      </c>
      <c r="I863">
        <v>0.44101701591696041</v>
      </c>
    </row>
    <row r="864" spans="1:9">
      <c r="A864">
        <v>1</v>
      </c>
      <c r="B864">
        <v>5</v>
      </c>
      <c r="C864" t="s">
        <v>87</v>
      </c>
      <c r="D864" t="s">
        <v>114</v>
      </c>
      <c r="E864" t="s">
        <v>25</v>
      </c>
      <c r="F864" t="s">
        <v>116</v>
      </c>
      <c r="G864" t="s">
        <v>38</v>
      </c>
      <c r="H864">
        <v>2025</v>
      </c>
      <c r="I864">
        <v>0.43328950710497005</v>
      </c>
    </row>
    <row r="865" spans="1:9">
      <c r="A865">
        <v>1</v>
      </c>
      <c r="B865">
        <v>5</v>
      </c>
      <c r="C865" t="s">
        <v>87</v>
      </c>
      <c r="D865" t="s">
        <v>114</v>
      </c>
      <c r="E865" t="s">
        <v>25</v>
      </c>
      <c r="F865" t="s">
        <v>116</v>
      </c>
      <c r="G865" t="s">
        <v>38</v>
      </c>
      <c r="H865">
        <v>2026</v>
      </c>
      <c r="I865">
        <v>0.59619258494595706</v>
      </c>
    </row>
    <row r="866" spans="1:9">
      <c r="A866">
        <v>1</v>
      </c>
      <c r="B866">
        <v>5</v>
      </c>
      <c r="C866" t="s">
        <v>87</v>
      </c>
      <c r="D866" t="s">
        <v>114</v>
      </c>
      <c r="E866" t="s">
        <v>25</v>
      </c>
      <c r="F866" t="s">
        <v>116</v>
      </c>
      <c r="G866" t="s">
        <v>38</v>
      </c>
      <c r="H866">
        <v>2027</v>
      </c>
      <c r="I866">
        <v>0.64692374678013587</v>
      </c>
    </row>
    <row r="867" spans="1:9">
      <c r="A867">
        <v>1</v>
      </c>
      <c r="B867">
        <v>5</v>
      </c>
      <c r="C867" t="s">
        <v>87</v>
      </c>
      <c r="D867" t="s">
        <v>114</v>
      </c>
      <c r="E867" t="s">
        <v>25</v>
      </c>
      <c r="F867" t="s">
        <v>116</v>
      </c>
      <c r="G867" t="s">
        <v>38</v>
      </c>
      <c r="H867">
        <v>2028</v>
      </c>
      <c r="I867">
        <v>0.77121710246864361</v>
      </c>
    </row>
    <row r="868" spans="1:9">
      <c r="A868">
        <v>1</v>
      </c>
      <c r="B868">
        <v>5</v>
      </c>
      <c r="C868" t="s">
        <v>87</v>
      </c>
      <c r="D868" t="s">
        <v>114</v>
      </c>
      <c r="E868" t="s">
        <v>25</v>
      </c>
      <c r="F868" t="s">
        <v>116</v>
      </c>
      <c r="G868" t="s">
        <v>38</v>
      </c>
      <c r="H868">
        <v>2029</v>
      </c>
      <c r="I868">
        <v>0.84831004864783643</v>
      </c>
    </row>
    <row r="869" spans="1:9">
      <c r="A869">
        <v>1</v>
      </c>
      <c r="B869">
        <v>5</v>
      </c>
      <c r="C869" t="s">
        <v>87</v>
      </c>
      <c r="D869" t="s">
        <v>114</v>
      </c>
      <c r="E869" t="s">
        <v>25</v>
      </c>
      <c r="F869" t="s">
        <v>116</v>
      </c>
      <c r="G869" t="s">
        <v>38</v>
      </c>
      <c r="H869">
        <v>2030</v>
      </c>
      <c r="I869">
        <v>0.59804588354119759</v>
      </c>
    </row>
    <row r="870" spans="1:9">
      <c r="A870">
        <v>1</v>
      </c>
      <c r="B870">
        <v>5</v>
      </c>
      <c r="C870" t="s">
        <v>87</v>
      </c>
      <c r="D870" t="s">
        <v>114</v>
      </c>
      <c r="E870" t="s">
        <v>25</v>
      </c>
      <c r="F870" t="s">
        <v>116</v>
      </c>
      <c r="G870" t="s">
        <v>38</v>
      </c>
      <c r="H870">
        <v>2031</v>
      </c>
      <c r="I870">
        <v>0.79412371580777696</v>
      </c>
    </row>
    <row r="871" spans="1:9">
      <c r="A871">
        <v>1</v>
      </c>
      <c r="B871">
        <v>5</v>
      </c>
      <c r="C871" t="s">
        <v>87</v>
      </c>
      <c r="D871" t="s">
        <v>114</v>
      </c>
      <c r="E871" t="s">
        <v>25</v>
      </c>
      <c r="F871" t="s">
        <v>116</v>
      </c>
      <c r="G871" t="s">
        <v>38</v>
      </c>
      <c r="H871">
        <v>2032</v>
      </c>
      <c r="I871">
        <v>0.65643098630915941</v>
      </c>
    </row>
    <row r="872" spans="1:9">
      <c r="A872">
        <v>1</v>
      </c>
      <c r="B872">
        <v>5</v>
      </c>
      <c r="C872" t="s">
        <v>87</v>
      </c>
      <c r="D872" t="s">
        <v>114</v>
      </c>
      <c r="E872" t="s">
        <v>25</v>
      </c>
      <c r="F872" t="s">
        <v>117</v>
      </c>
      <c r="G872" t="s">
        <v>37</v>
      </c>
      <c r="H872">
        <v>2018</v>
      </c>
      <c r="I872">
        <v>1.3737043887553795</v>
      </c>
    </row>
    <row r="873" spans="1:9">
      <c r="A873">
        <v>1</v>
      </c>
      <c r="B873">
        <v>5</v>
      </c>
      <c r="C873" t="s">
        <v>87</v>
      </c>
      <c r="D873" t="s">
        <v>114</v>
      </c>
      <c r="E873" t="s">
        <v>25</v>
      </c>
      <c r="F873" t="s">
        <v>117</v>
      </c>
      <c r="G873" t="s">
        <v>37</v>
      </c>
      <c r="H873">
        <v>2019</v>
      </c>
      <c r="I873">
        <v>1.8819163453407026</v>
      </c>
    </row>
    <row r="874" spans="1:9">
      <c r="A874">
        <v>1</v>
      </c>
      <c r="B874">
        <v>5</v>
      </c>
      <c r="C874" t="s">
        <v>87</v>
      </c>
      <c r="D874" t="s">
        <v>114</v>
      </c>
      <c r="E874" t="s">
        <v>25</v>
      </c>
      <c r="F874" t="s">
        <v>117</v>
      </c>
      <c r="G874" t="s">
        <v>37</v>
      </c>
      <c r="H874">
        <v>2020</v>
      </c>
      <c r="I874">
        <v>1.6226580184879511</v>
      </c>
    </row>
    <row r="875" spans="1:9">
      <c r="A875">
        <v>1</v>
      </c>
      <c r="B875">
        <v>5</v>
      </c>
      <c r="C875" t="s">
        <v>87</v>
      </c>
      <c r="D875" t="s">
        <v>114</v>
      </c>
      <c r="E875" t="s">
        <v>25</v>
      </c>
      <c r="F875" t="s">
        <v>117</v>
      </c>
      <c r="G875" t="s">
        <v>37</v>
      </c>
      <c r="H875">
        <v>2021</v>
      </c>
      <c r="I875">
        <v>2.1916435382484067</v>
      </c>
    </row>
    <row r="876" spans="1:9">
      <c r="A876">
        <v>1</v>
      </c>
      <c r="B876">
        <v>5</v>
      </c>
      <c r="C876" t="s">
        <v>87</v>
      </c>
      <c r="D876" t="s">
        <v>114</v>
      </c>
      <c r="E876" t="s">
        <v>25</v>
      </c>
      <c r="F876" t="s">
        <v>117</v>
      </c>
      <c r="G876" t="s">
        <v>37</v>
      </c>
      <c r="H876">
        <v>2022</v>
      </c>
      <c r="I876">
        <v>1.9111473417814184</v>
      </c>
    </row>
    <row r="877" spans="1:9">
      <c r="A877">
        <v>1</v>
      </c>
      <c r="B877">
        <v>5</v>
      </c>
      <c r="C877" t="s">
        <v>87</v>
      </c>
      <c r="D877" t="s">
        <v>114</v>
      </c>
      <c r="E877" t="s">
        <v>25</v>
      </c>
      <c r="F877" t="s">
        <v>117</v>
      </c>
      <c r="G877" t="s">
        <v>37</v>
      </c>
      <c r="H877">
        <v>2023</v>
      </c>
      <c r="I877">
        <v>2.1021315373184155</v>
      </c>
    </row>
    <row r="878" spans="1:9">
      <c r="A878">
        <v>1</v>
      </c>
      <c r="B878">
        <v>5</v>
      </c>
      <c r="C878" t="s">
        <v>87</v>
      </c>
      <c r="D878" t="s">
        <v>114</v>
      </c>
      <c r="E878" t="s">
        <v>25</v>
      </c>
      <c r="F878" t="s">
        <v>117</v>
      </c>
      <c r="G878" t="s">
        <v>37</v>
      </c>
      <c r="H878">
        <v>2024</v>
      </c>
      <c r="I878">
        <v>2.7859522612811416</v>
      </c>
    </row>
    <row r="879" spans="1:9">
      <c r="A879">
        <v>1</v>
      </c>
      <c r="B879">
        <v>5</v>
      </c>
      <c r="C879" t="s">
        <v>87</v>
      </c>
      <c r="D879" t="s">
        <v>114</v>
      </c>
      <c r="E879" t="s">
        <v>25</v>
      </c>
      <c r="F879" t="s">
        <v>117</v>
      </c>
      <c r="G879" t="s">
        <v>37</v>
      </c>
      <c r="H879">
        <v>2025</v>
      </c>
      <c r="I879">
        <v>2.4878114231370443</v>
      </c>
    </row>
    <row r="880" spans="1:9">
      <c r="A880">
        <v>1</v>
      </c>
      <c r="B880">
        <v>5</v>
      </c>
      <c r="C880" t="s">
        <v>87</v>
      </c>
      <c r="D880" t="s">
        <v>114</v>
      </c>
      <c r="E880" t="s">
        <v>25</v>
      </c>
      <c r="F880" t="s">
        <v>117</v>
      </c>
      <c r="G880" t="s">
        <v>37</v>
      </c>
      <c r="H880">
        <v>2026</v>
      </c>
      <c r="I880">
        <v>2.6688169499093166</v>
      </c>
    </row>
    <row r="881" spans="1:9">
      <c r="A881">
        <v>1</v>
      </c>
      <c r="B881">
        <v>5</v>
      </c>
      <c r="C881" t="s">
        <v>87</v>
      </c>
      <c r="D881" t="s">
        <v>114</v>
      </c>
      <c r="E881" t="s">
        <v>25</v>
      </c>
      <c r="F881" t="s">
        <v>117</v>
      </c>
      <c r="G881" t="s">
        <v>37</v>
      </c>
      <c r="H881">
        <v>2027</v>
      </c>
      <c r="I881">
        <v>2.4672804381227973</v>
      </c>
    </row>
    <row r="882" spans="1:9">
      <c r="A882">
        <v>1</v>
      </c>
      <c r="B882">
        <v>5</v>
      </c>
      <c r="C882" t="s">
        <v>87</v>
      </c>
      <c r="D882" t="s">
        <v>114</v>
      </c>
      <c r="E882" t="s">
        <v>25</v>
      </c>
      <c r="F882" t="s">
        <v>117</v>
      </c>
      <c r="G882" t="s">
        <v>37</v>
      </c>
      <c r="H882">
        <v>2028</v>
      </c>
      <c r="I882">
        <v>2.2068075928945832</v>
      </c>
    </row>
    <row r="883" spans="1:9">
      <c r="A883">
        <v>1</v>
      </c>
      <c r="B883">
        <v>5</v>
      </c>
      <c r="C883" t="s">
        <v>87</v>
      </c>
      <c r="D883" t="s">
        <v>114</v>
      </c>
      <c r="E883" t="s">
        <v>25</v>
      </c>
      <c r="F883" t="s">
        <v>117</v>
      </c>
      <c r="G883" t="s">
        <v>37</v>
      </c>
      <c r="H883">
        <v>2029</v>
      </c>
      <c r="I883">
        <v>3.2255848097218962</v>
      </c>
    </row>
    <row r="884" spans="1:9">
      <c r="A884">
        <v>1</v>
      </c>
      <c r="B884">
        <v>5</v>
      </c>
      <c r="C884" t="s">
        <v>87</v>
      </c>
      <c r="D884" t="s">
        <v>114</v>
      </c>
      <c r="E884" t="s">
        <v>25</v>
      </c>
      <c r="F884" t="s">
        <v>117</v>
      </c>
      <c r="G884" t="s">
        <v>37</v>
      </c>
      <c r="H884">
        <v>2030</v>
      </c>
      <c r="I884">
        <v>3.5953620099938988</v>
      </c>
    </row>
    <row r="885" spans="1:9">
      <c r="A885">
        <v>1</v>
      </c>
      <c r="B885">
        <v>5</v>
      </c>
      <c r="C885" t="s">
        <v>87</v>
      </c>
      <c r="D885" t="s">
        <v>114</v>
      </c>
      <c r="E885" t="s">
        <v>25</v>
      </c>
      <c r="F885" t="s">
        <v>117</v>
      </c>
      <c r="G885" t="s">
        <v>37</v>
      </c>
      <c r="H885">
        <v>2031</v>
      </c>
      <c r="I885">
        <v>1.9545492939501825</v>
      </c>
    </row>
    <row r="886" spans="1:9">
      <c r="A886">
        <v>1</v>
      </c>
      <c r="B886">
        <v>5</v>
      </c>
      <c r="C886" t="s">
        <v>87</v>
      </c>
      <c r="D886" t="s">
        <v>114</v>
      </c>
      <c r="E886" t="s">
        <v>25</v>
      </c>
      <c r="F886" t="s">
        <v>117</v>
      </c>
      <c r="G886" t="s">
        <v>37</v>
      </c>
      <c r="H886">
        <v>2032</v>
      </c>
      <c r="I886">
        <v>2.5607863767170933</v>
      </c>
    </row>
    <row r="887" spans="1:9">
      <c r="A887">
        <v>1</v>
      </c>
      <c r="B887">
        <v>5</v>
      </c>
      <c r="C887" t="s">
        <v>87</v>
      </c>
      <c r="D887" t="s">
        <v>114</v>
      </c>
      <c r="E887" t="s">
        <v>25</v>
      </c>
      <c r="F887" t="s">
        <v>117</v>
      </c>
      <c r="G887" t="s">
        <v>38</v>
      </c>
      <c r="H887">
        <v>2018</v>
      </c>
      <c r="I887">
        <v>1.0945704184395244</v>
      </c>
    </row>
    <row r="888" spans="1:9">
      <c r="A888">
        <v>1</v>
      </c>
      <c r="B888">
        <v>5</v>
      </c>
      <c r="C888" t="s">
        <v>87</v>
      </c>
      <c r="D888" t="s">
        <v>114</v>
      </c>
      <c r="E888" t="s">
        <v>25</v>
      </c>
      <c r="F888" t="s">
        <v>117</v>
      </c>
      <c r="G888" t="s">
        <v>38</v>
      </c>
      <c r="H888">
        <v>2019</v>
      </c>
      <c r="I888">
        <v>0.92134438416655962</v>
      </c>
    </row>
    <row r="889" spans="1:9">
      <c r="A889">
        <v>1</v>
      </c>
      <c r="B889">
        <v>5</v>
      </c>
      <c r="C889" t="s">
        <v>87</v>
      </c>
      <c r="D889" t="s">
        <v>114</v>
      </c>
      <c r="E889" t="s">
        <v>25</v>
      </c>
      <c r="F889" t="s">
        <v>117</v>
      </c>
      <c r="G889" t="s">
        <v>38</v>
      </c>
      <c r="H889">
        <v>2020</v>
      </c>
      <c r="I889">
        <v>0.96790049199205397</v>
      </c>
    </row>
    <row r="890" spans="1:9">
      <c r="A890">
        <v>1</v>
      </c>
      <c r="B890">
        <v>5</v>
      </c>
      <c r="C890" t="s">
        <v>87</v>
      </c>
      <c r="D890" t="s">
        <v>114</v>
      </c>
      <c r="E890" t="s">
        <v>25</v>
      </c>
      <c r="F890" t="s">
        <v>117</v>
      </c>
      <c r="G890" t="s">
        <v>38</v>
      </c>
      <c r="H890">
        <v>2021</v>
      </c>
      <c r="I890">
        <v>1.1522097989239146</v>
      </c>
    </row>
    <row r="891" spans="1:9">
      <c r="A891">
        <v>1</v>
      </c>
      <c r="B891">
        <v>5</v>
      </c>
      <c r="C891" t="s">
        <v>87</v>
      </c>
      <c r="D891" t="s">
        <v>114</v>
      </c>
      <c r="E891" t="s">
        <v>25</v>
      </c>
      <c r="F891" t="s">
        <v>117</v>
      </c>
      <c r="G891" t="s">
        <v>38</v>
      </c>
      <c r="H891">
        <v>2022</v>
      </c>
      <c r="I891">
        <v>0.74136915005094084</v>
      </c>
    </row>
    <row r="892" spans="1:9">
      <c r="A892">
        <v>1</v>
      </c>
      <c r="B892">
        <v>5</v>
      </c>
      <c r="C892" t="s">
        <v>87</v>
      </c>
      <c r="D892" t="s">
        <v>114</v>
      </c>
      <c r="E892" t="s">
        <v>25</v>
      </c>
      <c r="F892" t="s">
        <v>117</v>
      </c>
      <c r="G892" t="s">
        <v>38</v>
      </c>
      <c r="H892">
        <v>2023</v>
      </c>
      <c r="I892">
        <v>0.97383970302669254</v>
      </c>
    </row>
    <row r="893" spans="1:9">
      <c r="A893">
        <v>1</v>
      </c>
      <c r="B893">
        <v>5</v>
      </c>
      <c r="C893" t="s">
        <v>87</v>
      </c>
      <c r="D893" t="s">
        <v>114</v>
      </c>
      <c r="E893" t="s">
        <v>25</v>
      </c>
      <c r="F893" t="s">
        <v>117</v>
      </c>
      <c r="G893" t="s">
        <v>38</v>
      </c>
      <c r="H893">
        <v>2024</v>
      </c>
      <c r="I893">
        <v>1.4414647477747966</v>
      </c>
    </row>
    <row r="894" spans="1:9">
      <c r="A894">
        <v>1</v>
      </c>
      <c r="B894">
        <v>5</v>
      </c>
      <c r="C894" t="s">
        <v>87</v>
      </c>
      <c r="D894" t="s">
        <v>114</v>
      </c>
      <c r="E894" t="s">
        <v>25</v>
      </c>
      <c r="F894" t="s">
        <v>117</v>
      </c>
      <c r="G894" t="s">
        <v>38</v>
      </c>
      <c r="H894">
        <v>2025</v>
      </c>
      <c r="I894">
        <v>1.4922758355932146</v>
      </c>
    </row>
    <row r="895" spans="1:9">
      <c r="A895">
        <v>1</v>
      </c>
      <c r="B895">
        <v>5</v>
      </c>
      <c r="C895" t="s">
        <v>87</v>
      </c>
      <c r="D895" t="s">
        <v>114</v>
      </c>
      <c r="E895" t="s">
        <v>25</v>
      </c>
      <c r="F895" t="s">
        <v>117</v>
      </c>
      <c r="G895" t="s">
        <v>38</v>
      </c>
      <c r="H895">
        <v>2026</v>
      </c>
      <c r="I895">
        <v>1.2671297640319714</v>
      </c>
    </row>
    <row r="896" spans="1:9">
      <c r="A896">
        <v>1</v>
      </c>
      <c r="B896">
        <v>5</v>
      </c>
      <c r="C896" t="s">
        <v>87</v>
      </c>
      <c r="D896" t="s">
        <v>114</v>
      </c>
      <c r="E896" t="s">
        <v>25</v>
      </c>
      <c r="F896" t="s">
        <v>117</v>
      </c>
      <c r="G896" t="s">
        <v>38</v>
      </c>
      <c r="H896">
        <v>2027</v>
      </c>
      <c r="I896">
        <v>1.443802838342187</v>
      </c>
    </row>
    <row r="897" spans="1:9">
      <c r="A897">
        <v>1</v>
      </c>
      <c r="B897">
        <v>5</v>
      </c>
      <c r="C897" t="s">
        <v>87</v>
      </c>
      <c r="D897" t="s">
        <v>114</v>
      </c>
      <c r="E897" t="s">
        <v>25</v>
      </c>
      <c r="F897" t="s">
        <v>117</v>
      </c>
      <c r="G897" t="s">
        <v>38</v>
      </c>
      <c r="H897">
        <v>2028</v>
      </c>
      <c r="I897">
        <v>0.97977777188771487</v>
      </c>
    </row>
    <row r="898" spans="1:9">
      <c r="A898">
        <v>1</v>
      </c>
      <c r="B898">
        <v>5</v>
      </c>
      <c r="C898" t="s">
        <v>87</v>
      </c>
      <c r="D898" t="s">
        <v>114</v>
      </c>
      <c r="E898" t="s">
        <v>25</v>
      </c>
      <c r="F898" t="s">
        <v>117</v>
      </c>
      <c r="G898" t="s">
        <v>38</v>
      </c>
      <c r="H898">
        <v>2029</v>
      </c>
      <c r="I898">
        <v>1.8725027289416505</v>
      </c>
    </row>
    <row r="899" spans="1:9">
      <c r="A899">
        <v>1</v>
      </c>
      <c r="B899">
        <v>5</v>
      </c>
      <c r="C899" t="s">
        <v>87</v>
      </c>
      <c r="D899" t="s">
        <v>114</v>
      </c>
      <c r="E899" t="s">
        <v>25</v>
      </c>
      <c r="F899" t="s">
        <v>117</v>
      </c>
      <c r="G899" t="s">
        <v>38</v>
      </c>
      <c r="H899">
        <v>2030</v>
      </c>
      <c r="I899">
        <v>1.6124254640122639</v>
      </c>
    </row>
    <row r="900" spans="1:9">
      <c r="A900">
        <v>1</v>
      </c>
      <c r="B900">
        <v>5</v>
      </c>
      <c r="C900" t="s">
        <v>87</v>
      </c>
      <c r="D900" t="s">
        <v>114</v>
      </c>
      <c r="E900" t="s">
        <v>25</v>
      </c>
      <c r="F900" t="s">
        <v>117</v>
      </c>
      <c r="G900" t="s">
        <v>38</v>
      </c>
      <c r="H900">
        <v>2031</v>
      </c>
      <c r="I900">
        <v>1.0874107422059951</v>
      </c>
    </row>
    <row r="901" spans="1:9">
      <c r="A901">
        <v>1</v>
      </c>
      <c r="B901">
        <v>5</v>
      </c>
      <c r="C901" t="s">
        <v>87</v>
      </c>
      <c r="D901" t="s">
        <v>114</v>
      </c>
      <c r="E901" t="s">
        <v>25</v>
      </c>
      <c r="F901" t="s">
        <v>117</v>
      </c>
      <c r="G901" t="s">
        <v>38</v>
      </c>
      <c r="H901">
        <v>2032</v>
      </c>
      <c r="I901">
        <v>1.4181728636671016</v>
      </c>
    </row>
    <row r="902" spans="1:9">
      <c r="A902">
        <v>1</v>
      </c>
      <c r="B902">
        <v>6</v>
      </c>
      <c r="C902" t="s">
        <v>82</v>
      </c>
      <c r="D902" t="s">
        <v>113</v>
      </c>
      <c r="E902" t="s">
        <v>20</v>
      </c>
      <c r="F902" t="s">
        <v>30</v>
      </c>
      <c r="G902" t="s">
        <v>37</v>
      </c>
      <c r="H902">
        <v>2018</v>
      </c>
      <c r="I902">
        <v>2.1958958953344938</v>
      </c>
    </row>
    <row r="903" spans="1:9">
      <c r="A903">
        <v>1</v>
      </c>
      <c r="B903">
        <v>6</v>
      </c>
      <c r="C903" t="s">
        <v>82</v>
      </c>
      <c r="D903" t="s">
        <v>113</v>
      </c>
      <c r="E903" t="s">
        <v>20</v>
      </c>
      <c r="F903" t="s">
        <v>30</v>
      </c>
      <c r="G903" t="s">
        <v>37</v>
      </c>
      <c r="H903">
        <v>2019</v>
      </c>
      <c r="I903">
        <v>1.6344940207379639</v>
      </c>
    </row>
    <row r="904" spans="1:9">
      <c r="A904">
        <v>1</v>
      </c>
      <c r="B904">
        <v>6</v>
      </c>
      <c r="C904" t="s">
        <v>82</v>
      </c>
      <c r="D904" t="s">
        <v>113</v>
      </c>
      <c r="E904" t="s">
        <v>20</v>
      </c>
      <c r="F904" t="s">
        <v>30</v>
      </c>
      <c r="G904" t="s">
        <v>37</v>
      </c>
      <c r="H904">
        <v>2020</v>
      </c>
      <c r="I904">
        <v>1.5595603565153069</v>
      </c>
    </row>
    <row r="905" spans="1:9">
      <c r="A905">
        <v>1</v>
      </c>
      <c r="B905">
        <v>6</v>
      </c>
      <c r="C905" t="s">
        <v>82</v>
      </c>
      <c r="D905" t="s">
        <v>113</v>
      </c>
      <c r="E905" t="s">
        <v>20</v>
      </c>
      <c r="F905" t="s">
        <v>30</v>
      </c>
      <c r="G905" t="s">
        <v>37</v>
      </c>
      <c r="H905">
        <v>2021</v>
      </c>
      <c r="I905">
        <v>2.288771715522234</v>
      </c>
    </row>
    <row r="906" spans="1:9">
      <c r="A906">
        <v>1</v>
      </c>
      <c r="B906">
        <v>6</v>
      </c>
      <c r="C906" t="s">
        <v>82</v>
      </c>
      <c r="D906" t="s">
        <v>113</v>
      </c>
      <c r="E906" t="s">
        <v>20</v>
      </c>
      <c r="F906" t="s">
        <v>30</v>
      </c>
      <c r="G906" t="s">
        <v>37</v>
      </c>
      <c r="H906">
        <v>2022</v>
      </c>
      <c r="I906">
        <v>1.7577658418504325</v>
      </c>
    </row>
    <row r="907" spans="1:9">
      <c r="A907">
        <v>1</v>
      </c>
      <c r="B907">
        <v>6</v>
      </c>
      <c r="C907" t="s">
        <v>82</v>
      </c>
      <c r="D907" t="s">
        <v>113</v>
      </c>
      <c r="E907" t="s">
        <v>20</v>
      </c>
      <c r="F907" t="s">
        <v>30</v>
      </c>
      <c r="G907" t="s">
        <v>37</v>
      </c>
      <c r="H907">
        <v>2023</v>
      </c>
      <c r="I907">
        <v>2.7116532717094382</v>
      </c>
    </row>
    <row r="908" spans="1:9">
      <c r="A908">
        <v>1</v>
      </c>
      <c r="B908">
        <v>6</v>
      </c>
      <c r="C908" t="s">
        <v>82</v>
      </c>
      <c r="D908" t="s">
        <v>113</v>
      </c>
      <c r="E908" t="s">
        <v>20</v>
      </c>
      <c r="F908" t="s">
        <v>30</v>
      </c>
      <c r="G908" t="s">
        <v>37</v>
      </c>
      <c r="H908">
        <v>2024</v>
      </c>
      <c r="I908">
        <v>2.6511789248205351</v>
      </c>
    </row>
    <row r="909" spans="1:9">
      <c r="A909">
        <v>1</v>
      </c>
      <c r="B909">
        <v>6</v>
      </c>
      <c r="C909" t="s">
        <v>82</v>
      </c>
      <c r="D909" t="s">
        <v>113</v>
      </c>
      <c r="E909" t="s">
        <v>20</v>
      </c>
      <c r="F909" t="s">
        <v>30</v>
      </c>
      <c r="G909" t="s">
        <v>37</v>
      </c>
      <c r="H909">
        <v>2025</v>
      </c>
      <c r="I909">
        <v>3.3791857788254331</v>
      </c>
    </row>
    <row r="910" spans="1:9">
      <c r="A910">
        <v>1</v>
      </c>
      <c r="B910">
        <v>6</v>
      </c>
      <c r="C910" t="s">
        <v>82</v>
      </c>
      <c r="D910" t="s">
        <v>113</v>
      </c>
      <c r="E910" t="s">
        <v>20</v>
      </c>
      <c r="F910" t="s">
        <v>30</v>
      </c>
      <c r="G910" t="s">
        <v>37</v>
      </c>
      <c r="H910">
        <v>2026</v>
      </c>
      <c r="I910">
        <v>2.2274607131982438</v>
      </c>
    </row>
    <row r="911" spans="1:9">
      <c r="A911">
        <v>1</v>
      </c>
      <c r="B911">
        <v>6</v>
      </c>
      <c r="C911" t="s">
        <v>82</v>
      </c>
      <c r="D911" t="s">
        <v>113</v>
      </c>
      <c r="E911" t="s">
        <v>20</v>
      </c>
      <c r="F911" t="s">
        <v>30</v>
      </c>
      <c r="G911" t="s">
        <v>37</v>
      </c>
      <c r="H911">
        <v>2027</v>
      </c>
      <c r="I911">
        <v>2.6700676001747903</v>
      </c>
    </row>
    <row r="912" spans="1:9">
      <c r="A912">
        <v>1</v>
      </c>
      <c r="B912">
        <v>6</v>
      </c>
      <c r="C912" t="s">
        <v>82</v>
      </c>
      <c r="D912" t="s">
        <v>113</v>
      </c>
      <c r="E912" t="s">
        <v>20</v>
      </c>
      <c r="F912" t="s">
        <v>30</v>
      </c>
      <c r="G912" t="s">
        <v>37</v>
      </c>
      <c r="H912">
        <v>2028</v>
      </c>
      <c r="I912">
        <v>3.8867951465927453</v>
      </c>
    </row>
    <row r="913" spans="1:9">
      <c r="A913">
        <v>1</v>
      </c>
      <c r="B913">
        <v>6</v>
      </c>
      <c r="C913" t="s">
        <v>82</v>
      </c>
      <c r="D913" t="s">
        <v>113</v>
      </c>
      <c r="E913" t="s">
        <v>20</v>
      </c>
      <c r="F913" t="s">
        <v>30</v>
      </c>
      <c r="G913" t="s">
        <v>37</v>
      </c>
      <c r="H913">
        <v>2029</v>
      </c>
      <c r="I913">
        <v>2.5478019560063121</v>
      </c>
    </row>
    <row r="914" spans="1:9">
      <c r="A914">
        <v>1</v>
      </c>
      <c r="B914">
        <v>6</v>
      </c>
      <c r="C914" t="s">
        <v>82</v>
      </c>
      <c r="D914" t="s">
        <v>113</v>
      </c>
      <c r="E914" t="s">
        <v>20</v>
      </c>
      <c r="F914" t="s">
        <v>30</v>
      </c>
      <c r="G914" t="s">
        <v>37</v>
      </c>
      <c r="H914">
        <v>2030</v>
      </c>
      <c r="I914">
        <v>2.2216257811103226</v>
      </c>
    </row>
    <row r="915" spans="1:9">
      <c r="A915">
        <v>1</v>
      </c>
      <c r="B915">
        <v>6</v>
      </c>
      <c r="C915" t="s">
        <v>82</v>
      </c>
      <c r="D915" t="s">
        <v>113</v>
      </c>
      <c r="E915" t="s">
        <v>20</v>
      </c>
      <c r="F915" t="s">
        <v>30</v>
      </c>
      <c r="G915" t="s">
        <v>37</v>
      </c>
      <c r="H915">
        <v>2031</v>
      </c>
      <c r="I915">
        <v>3.8886210518838</v>
      </c>
    </row>
    <row r="916" spans="1:9">
      <c r="A916">
        <v>1</v>
      </c>
      <c r="B916">
        <v>6</v>
      </c>
      <c r="C916" t="s">
        <v>82</v>
      </c>
      <c r="D916" t="s">
        <v>113</v>
      </c>
      <c r="E916" t="s">
        <v>20</v>
      </c>
      <c r="F916" t="s">
        <v>30</v>
      </c>
      <c r="G916" t="s">
        <v>37</v>
      </c>
      <c r="H916">
        <v>2032</v>
      </c>
      <c r="I916">
        <v>2.3516967659440731</v>
      </c>
    </row>
    <row r="917" spans="1:9">
      <c r="A917">
        <v>1</v>
      </c>
      <c r="B917">
        <v>6</v>
      </c>
      <c r="C917" t="s">
        <v>82</v>
      </c>
      <c r="D917" t="s">
        <v>113</v>
      </c>
      <c r="E917" t="s">
        <v>20</v>
      </c>
      <c r="F917" t="s">
        <v>30</v>
      </c>
      <c r="G917" t="s">
        <v>38</v>
      </c>
      <c r="H917">
        <v>2018</v>
      </c>
      <c r="I917">
        <v>0.92435349509831333</v>
      </c>
    </row>
    <row r="918" spans="1:9">
      <c r="A918">
        <v>1</v>
      </c>
      <c r="B918">
        <v>6</v>
      </c>
      <c r="C918" t="s">
        <v>82</v>
      </c>
      <c r="D918" t="s">
        <v>113</v>
      </c>
      <c r="E918" t="s">
        <v>20</v>
      </c>
      <c r="F918" t="s">
        <v>30</v>
      </c>
      <c r="G918" t="s">
        <v>38</v>
      </c>
      <c r="H918">
        <v>2019</v>
      </c>
      <c r="I918">
        <v>1.0211771483863912</v>
      </c>
    </row>
    <row r="919" spans="1:9">
      <c r="A919">
        <v>1</v>
      </c>
      <c r="B919">
        <v>6</v>
      </c>
      <c r="C919" t="s">
        <v>82</v>
      </c>
      <c r="D919" t="s">
        <v>113</v>
      </c>
      <c r="E919" t="s">
        <v>20</v>
      </c>
      <c r="F919" t="s">
        <v>30</v>
      </c>
      <c r="G919" t="s">
        <v>38</v>
      </c>
      <c r="H919">
        <v>2020</v>
      </c>
      <c r="I919">
        <v>1.1837272871992905</v>
      </c>
    </row>
    <row r="920" spans="1:9">
      <c r="A920">
        <v>1</v>
      </c>
      <c r="B920">
        <v>6</v>
      </c>
      <c r="C920" t="s">
        <v>82</v>
      </c>
      <c r="D920" t="s">
        <v>113</v>
      </c>
      <c r="E920" t="s">
        <v>20</v>
      </c>
      <c r="F920" t="s">
        <v>30</v>
      </c>
      <c r="G920" t="s">
        <v>38</v>
      </c>
      <c r="H920">
        <v>2021</v>
      </c>
      <c r="I920">
        <v>0.78993761579642996</v>
      </c>
    </row>
    <row r="921" spans="1:9">
      <c r="A921">
        <v>1</v>
      </c>
      <c r="B921">
        <v>6</v>
      </c>
      <c r="C921" t="s">
        <v>82</v>
      </c>
      <c r="D921" t="s">
        <v>113</v>
      </c>
      <c r="E921" t="s">
        <v>20</v>
      </c>
      <c r="F921" t="s">
        <v>30</v>
      </c>
      <c r="G921" t="s">
        <v>38</v>
      </c>
      <c r="H921">
        <v>2022</v>
      </c>
      <c r="I921">
        <v>0.98887147262996655</v>
      </c>
    </row>
    <row r="922" spans="1:9">
      <c r="A922">
        <v>1</v>
      </c>
      <c r="B922">
        <v>6</v>
      </c>
      <c r="C922" t="s">
        <v>82</v>
      </c>
      <c r="D922" t="s">
        <v>113</v>
      </c>
      <c r="E922" t="s">
        <v>20</v>
      </c>
      <c r="F922" t="s">
        <v>30</v>
      </c>
      <c r="G922" t="s">
        <v>38</v>
      </c>
      <c r="H922">
        <v>2023</v>
      </c>
      <c r="I922">
        <v>1.0017923684696335</v>
      </c>
    </row>
    <row r="923" spans="1:9">
      <c r="A923">
        <v>1</v>
      </c>
      <c r="B923">
        <v>6</v>
      </c>
      <c r="C923" t="s">
        <v>82</v>
      </c>
      <c r="D923" t="s">
        <v>113</v>
      </c>
      <c r="E923" t="s">
        <v>20</v>
      </c>
      <c r="F923" t="s">
        <v>30</v>
      </c>
      <c r="G923" t="s">
        <v>38</v>
      </c>
      <c r="H923">
        <v>2024</v>
      </c>
      <c r="I923">
        <v>0.948907420414562</v>
      </c>
    </row>
    <row r="924" spans="1:9">
      <c r="A924">
        <v>1</v>
      </c>
      <c r="B924">
        <v>6</v>
      </c>
      <c r="C924" t="s">
        <v>82</v>
      </c>
      <c r="D924" t="s">
        <v>113</v>
      </c>
      <c r="E924" t="s">
        <v>20</v>
      </c>
      <c r="F924" t="s">
        <v>30</v>
      </c>
      <c r="G924" t="s">
        <v>38</v>
      </c>
      <c r="H924">
        <v>2025</v>
      </c>
      <c r="I924">
        <v>1.6866082380466669</v>
      </c>
    </row>
    <row r="925" spans="1:9">
      <c r="A925">
        <v>1</v>
      </c>
      <c r="B925">
        <v>6</v>
      </c>
      <c r="C925" t="s">
        <v>82</v>
      </c>
      <c r="D925" t="s">
        <v>113</v>
      </c>
      <c r="E925" t="s">
        <v>20</v>
      </c>
      <c r="F925" t="s">
        <v>30</v>
      </c>
      <c r="G925" t="s">
        <v>38</v>
      </c>
      <c r="H925">
        <v>2026</v>
      </c>
      <c r="I925">
        <v>0.90638915704678058</v>
      </c>
    </row>
    <row r="926" spans="1:9">
      <c r="A926">
        <v>1</v>
      </c>
      <c r="B926">
        <v>6</v>
      </c>
      <c r="C926" t="s">
        <v>82</v>
      </c>
      <c r="D926" t="s">
        <v>113</v>
      </c>
      <c r="E926" t="s">
        <v>20</v>
      </c>
      <c r="F926" t="s">
        <v>30</v>
      </c>
      <c r="G926" t="s">
        <v>38</v>
      </c>
      <c r="H926">
        <v>2027</v>
      </c>
      <c r="I926">
        <v>0.87975861918877429</v>
      </c>
    </row>
    <row r="927" spans="1:9">
      <c r="A927">
        <v>1</v>
      </c>
      <c r="B927">
        <v>6</v>
      </c>
      <c r="C927" t="s">
        <v>82</v>
      </c>
      <c r="D927" t="s">
        <v>113</v>
      </c>
      <c r="E927" t="s">
        <v>20</v>
      </c>
      <c r="F927" t="s">
        <v>30</v>
      </c>
      <c r="G927" t="s">
        <v>38</v>
      </c>
      <c r="H927">
        <v>2028</v>
      </c>
      <c r="I927">
        <v>1.3605977748576201</v>
      </c>
    </row>
    <row r="928" spans="1:9">
      <c r="A928">
        <v>1</v>
      </c>
      <c r="B928">
        <v>6</v>
      </c>
      <c r="C928" t="s">
        <v>82</v>
      </c>
      <c r="D928" t="s">
        <v>113</v>
      </c>
      <c r="E928" t="s">
        <v>20</v>
      </c>
      <c r="F928" t="s">
        <v>30</v>
      </c>
      <c r="G928" t="s">
        <v>38</v>
      </c>
      <c r="H928">
        <v>2029</v>
      </c>
      <c r="I928">
        <v>1.8751436836203306</v>
      </c>
    </row>
    <row r="929" spans="1:9">
      <c r="A929">
        <v>1</v>
      </c>
      <c r="B929">
        <v>6</v>
      </c>
      <c r="C929" t="s">
        <v>82</v>
      </c>
      <c r="D929" t="s">
        <v>113</v>
      </c>
      <c r="E929" t="s">
        <v>20</v>
      </c>
      <c r="F929" t="s">
        <v>30</v>
      </c>
      <c r="G929" t="s">
        <v>38</v>
      </c>
      <c r="H929">
        <v>2030</v>
      </c>
      <c r="I929">
        <v>1.3000735912756471</v>
      </c>
    </row>
    <row r="930" spans="1:9">
      <c r="A930">
        <v>1</v>
      </c>
      <c r="B930">
        <v>6</v>
      </c>
      <c r="C930" t="s">
        <v>82</v>
      </c>
      <c r="D930" t="s">
        <v>113</v>
      </c>
      <c r="E930" t="s">
        <v>20</v>
      </c>
      <c r="F930" t="s">
        <v>30</v>
      </c>
      <c r="G930" t="s">
        <v>38</v>
      </c>
      <c r="H930">
        <v>2031</v>
      </c>
      <c r="I930">
        <v>1.3345039723192644</v>
      </c>
    </row>
    <row r="931" spans="1:9">
      <c r="A931">
        <v>1</v>
      </c>
      <c r="B931">
        <v>6</v>
      </c>
      <c r="C931" t="s">
        <v>82</v>
      </c>
      <c r="D931" t="s">
        <v>113</v>
      </c>
      <c r="E931" t="s">
        <v>20</v>
      </c>
      <c r="F931" t="s">
        <v>30</v>
      </c>
      <c r="G931" t="s">
        <v>38</v>
      </c>
      <c r="H931">
        <v>2032</v>
      </c>
      <c r="I931">
        <v>1.1390913131680303</v>
      </c>
    </row>
    <row r="932" spans="1:9">
      <c r="A932">
        <v>1</v>
      </c>
      <c r="B932">
        <v>6</v>
      </c>
      <c r="C932" t="s">
        <v>82</v>
      </c>
      <c r="D932" t="s">
        <v>113</v>
      </c>
      <c r="E932" t="s">
        <v>20</v>
      </c>
      <c r="F932" t="s">
        <v>31</v>
      </c>
      <c r="G932" t="s">
        <v>37</v>
      </c>
      <c r="H932">
        <v>2018</v>
      </c>
      <c r="I932">
        <v>0.81718149440035004</v>
      </c>
    </row>
    <row r="933" spans="1:9">
      <c r="A933">
        <v>1</v>
      </c>
      <c r="B933">
        <v>6</v>
      </c>
      <c r="C933" t="s">
        <v>82</v>
      </c>
      <c r="D933" t="s">
        <v>113</v>
      </c>
      <c r="E933" t="s">
        <v>20</v>
      </c>
      <c r="F933" t="s">
        <v>31</v>
      </c>
      <c r="G933" t="s">
        <v>37</v>
      </c>
      <c r="H933">
        <v>2019</v>
      </c>
      <c r="I933">
        <v>0.56237499349573961</v>
      </c>
    </row>
    <row r="934" spans="1:9">
      <c r="A934">
        <v>1</v>
      </c>
      <c r="B934">
        <v>6</v>
      </c>
      <c r="C934" t="s">
        <v>82</v>
      </c>
      <c r="D934" t="s">
        <v>113</v>
      </c>
      <c r="E934" t="s">
        <v>20</v>
      </c>
      <c r="F934" t="s">
        <v>31</v>
      </c>
      <c r="G934" t="s">
        <v>37</v>
      </c>
      <c r="H934">
        <v>2020</v>
      </c>
      <c r="I934">
        <v>0.85083826362355541</v>
      </c>
    </row>
    <row r="935" spans="1:9">
      <c r="A935">
        <v>1</v>
      </c>
      <c r="B935">
        <v>6</v>
      </c>
      <c r="C935" t="s">
        <v>82</v>
      </c>
      <c r="D935" t="s">
        <v>113</v>
      </c>
      <c r="E935" t="s">
        <v>20</v>
      </c>
      <c r="F935" t="s">
        <v>31</v>
      </c>
      <c r="G935" t="s">
        <v>37</v>
      </c>
      <c r="H935">
        <v>2021</v>
      </c>
      <c r="I935">
        <v>1.0201965443175478</v>
      </c>
    </row>
    <row r="936" spans="1:9">
      <c r="A936">
        <v>1</v>
      </c>
      <c r="B936">
        <v>6</v>
      </c>
      <c r="C936" t="s">
        <v>82</v>
      </c>
      <c r="D936" t="s">
        <v>113</v>
      </c>
      <c r="E936" t="s">
        <v>20</v>
      </c>
      <c r="F936" t="s">
        <v>31</v>
      </c>
      <c r="G936" t="s">
        <v>37</v>
      </c>
      <c r="H936">
        <v>2022</v>
      </c>
      <c r="I936">
        <v>1.1237900055635404</v>
      </c>
    </row>
    <row r="937" spans="1:9">
      <c r="A937">
        <v>1</v>
      </c>
      <c r="B937">
        <v>6</v>
      </c>
      <c r="C937" t="s">
        <v>82</v>
      </c>
      <c r="D937" t="s">
        <v>113</v>
      </c>
      <c r="E937" t="s">
        <v>20</v>
      </c>
      <c r="F937" t="s">
        <v>31</v>
      </c>
      <c r="G937" t="s">
        <v>37</v>
      </c>
      <c r="H937">
        <v>2023</v>
      </c>
      <c r="I937">
        <v>0.82106310043232011</v>
      </c>
    </row>
    <row r="938" spans="1:9">
      <c r="A938">
        <v>1</v>
      </c>
      <c r="B938">
        <v>6</v>
      </c>
      <c r="C938" t="s">
        <v>82</v>
      </c>
      <c r="D938" t="s">
        <v>113</v>
      </c>
      <c r="E938" t="s">
        <v>20</v>
      </c>
      <c r="F938" t="s">
        <v>31</v>
      </c>
      <c r="G938" t="s">
        <v>37</v>
      </c>
      <c r="H938">
        <v>2024</v>
      </c>
      <c r="I938">
        <v>0.84808875089494928</v>
      </c>
    </row>
    <row r="939" spans="1:9">
      <c r="A939">
        <v>1</v>
      </c>
      <c r="B939">
        <v>6</v>
      </c>
      <c r="C939" t="s">
        <v>82</v>
      </c>
      <c r="D939" t="s">
        <v>113</v>
      </c>
      <c r="E939" t="s">
        <v>20</v>
      </c>
      <c r="F939" t="s">
        <v>31</v>
      </c>
      <c r="G939" t="s">
        <v>37</v>
      </c>
      <c r="H939">
        <v>2025</v>
      </c>
      <c r="I939">
        <v>0.79714866855513922</v>
      </c>
    </row>
    <row r="940" spans="1:9">
      <c r="A940">
        <v>1</v>
      </c>
      <c r="B940">
        <v>6</v>
      </c>
      <c r="C940" t="s">
        <v>82</v>
      </c>
      <c r="D940" t="s">
        <v>113</v>
      </c>
      <c r="E940" t="s">
        <v>20</v>
      </c>
      <c r="F940" t="s">
        <v>31</v>
      </c>
      <c r="G940" t="s">
        <v>37</v>
      </c>
      <c r="H940">
        <v>2026</v>
      </c>
      <c r="I940">
        <v>1.0132923964487035</v>
      </c>
    </row>
    <row r="941" spans="1:9">
      <c r="A941">
        <v>1</v>
      </c>
      <c r="B941">
        <v>6</v>
      </c>
      <c r="C941" t="s">
        <v>82</v>
      </c>
      <c r="D941" t="s">
        <v>113</v>
      </c>
      <c r="E941" t="s">
        <v>20</v>
      </c>
      <c r="F941" t="s">
        <v>31</v>
      </c>
      <c r="G941" t="s">
        <v>37</v>
      </c>
      <c r="H941">
        <v>2027</v>
      </c>
      <c r="I941">
        <v>0.98691263852608446</v>
      </c>
    </row>
    <row r="942" spans="1:9">
      <c r="A942">
        <v>1</v>
      </c>
      <c r="B942">
        <v>6</v>
      </c>
      <c r="C942" t="s">
        <v>82</v>
      </c>
      <c r="D942" t="s">
        <v>113</v>
      </c>
      <c r="E942" t="s">
        <v>20</v>
      </c>
      <c r="F942" t="s">
        <v>31</v>
      </c>
      <c r="G942" t="s">
        <v>37</v>
      </c>
      <c r="H942">
        <v>2028</v>
      </c>
      <c r="I942">
        <v>1.3672307946361741</v>
      </c>
    </row>
    <row r="943" spans="1:9">
      <c r="A943">
        <v>1</v>
      </c>
      <c r="B943">
        <v>6</v>
      </c>
      <c r="C943" t="s">
        <v>82</v>
      </c>
      <c r="D943" t="s">
        <v>113</v>
      </c>
      <c r="E943" t="s">
        <v>20</v>
      </c>
      <c r="F943" t="s">
        <v>31</v>
      </c>
      <c r="G943" t="s">
        <v>37</v>
      </c>
      <c r="H943">
        <v>2029</v>
      </c>
      <c r="I943">
        <v>1.089240076242211</v>
      </c>
    </row>
    <row r="944" spans="1:9">
      <c r="A944">
        <v>1</v>
      </c>
      <c r="B944">
        <v>6</v>
      </c>
      <c r="C944" t="s">
        <v>82</v>
      </c>
      <c r="D944" t="s">
        <v>113</v>
      </c>
      <c r="E944" t="s">
        <v>20</v>
      </c>
      <c r="F944" t="s">
        <v>31</v>
      </c>
      <c r="G944" t="s">
        <v>37</v>
      </c>
      <c r="H944">
        <v>2030</v>
      </c>
      <c r="I944">
        <v>1.5777692073626806</v>
      </c>
    </row>
    <row r="945" spans="1:9">
      <c r="A945">
        <v>1</v>
      </c>
      <c r="B945">
        <v>6</v>
      </c>
      <c r="C945" t="s">
        <v>82</v>
      </c>
      <c r="D945" t="s">
        <v>113</v>
      </c>
      <c r="E945" t="s">
        <v>20</v>
      </c>
      <c r="F945" t="s">
        <v>31</v>
      </c>
      <c r="G945" t="s">
        <v>37</v>
      </c>
      <c r="H945">
        <v>2031</v>
      </c>
      <c r="I945">
        <v>1.3309507702664698</v>
      </c>
    </row>
    <row r="946" spans="1:9">
      <c r="A946">
        <v>1</v>
      </c>
      <c r="B946">
        <v>6</v>
      </c>
      <c r="C946" t="s">
        <v>82</v>
      </c>
      <c r="D946" t="s">
        <v>113</v>
      </c>
      <c r="E946" t="s">
        <v>20</v>
      </c>
      <c r="F946" t="s">
        <v>31</v>
      </c>
      <c r="G946" t="s">
        <v>37</v>
      </c>
      <c r="H946">
        <v>2032</v>
      </c>
      <c r="I946">
        <v>1.6306736089022746</v>
      </c>
    </row>
    <row r="947" spans="1:9">
      <c r="A947">
        <v>1</v>
      </c>
      <c r="B947">
        <v>6</v>
      </c>
      <c r="C947" t="s">
        <v>82</v>
      </c>
      <c r="D947" t="s">
        <v>113</v>
      </c>
      <c r="E947" t="s">
        <v>20</v>
      </c>
      <c r="F947" t="s">
        <v>31</v>
      </c>
      <c r="G947" t="s">
        <v>38</v>
      </c>
      <c r="H947">
        <v>2018</v>
      </c>
      <c r="I947">
        <v>0.40565663838883775</v>
      </c>
    </row>
    <row r="948" spans="1:9">
      <c r="A948">
        <v>1</v>
      </c>
      <c r="B948">
        <v>6</v>
      </c>
      <c r="C948" t="s">
        <v>82</v>
      </c>
      <c r="D948" t="s">
        <v>113</v>
      </c>
      <c r="E948" t="s">
        <v>20</v>
      </c>
      <c r="F948" t="s">
        <v>31</v>
      </c>
      <c r="G948" t="s">
        <v>38</v>
      </c>
      <c r="H948">
        <v>2019</v>
      </c>
      <c r="I948">
        <v>0.46227839176892765</v>
      </c>
    </row>
    <row r="949" spans="1:9">
      <c r="A949">
        <v>1</v>
      </c>
      <c r="B949">
        <v>6</v>
      </c>
      <c r="C949" t="s">
        <v>82</v>
      </c>
      <c r="D949" t="s">
        <v>113</v>
      </c>
      <c r="E949" t="s">
        <v>20</v>
      </c>
      <c r="F949" t="s">
        <v>31</v>
      </c>
      <c r="G949" t="s">
        <v>38</v>
      </c>
      <c r="H949">
        <v>2020</v>
      </c>
      <c r="I949">
        <v>0.3159353351230636</v>
      </c>
    </row>
    <row r="950" spans="1:9">
      <c r="A950">
        <v>1</v>
      </c>
      <c r="B950">
        <v>6</v>
      </c>
      <c r="C950" t="s">
        <v>82</v>
      </c>
      <c r="D950" t="s">
        <v>113</v>
      </c>
      <c r="E950" t="s">
        <v>20</v>
      </c>
      <c r="F950" t="s">
        <v>31</v>
      </c>
      <c r="G950" t="s">
        <v>38</v>
      </c>
      <c r="H950">
        <v>2021</v>
      </c>
      <c r="I950">
        <v>0.37129021996731104</v>
      </c>
    </row>
    <row r="951" spans="1:9">
      <c r="A951">
        <v>1</v>
      </c>
      <c r="B951">
        <v>6</v>
      </c>
      <c r="C951" t="s">
        <v>82</v>
      </c>
      <c r="D951" t="s">
        <v>113</v>
      </c>
      <c r="E951" t="s">
        <v>20</v>
      </c>
      <c r="F951" t="s">
        <v>31</v>
      </c>
      <c r="G951" t="s">
        <v>38</v>
      </c>
      <c r="H951">
        <v>2022</v>
      </c>
      <c r="I951">
        <v>0.46354337258280409</v>
      </c>
    </row>
    <row r="952" spans="1:9">
      <c r="A952">
        <v>1</v>
      </c>
      <c r="B952">
        <v>6</v>
      </c>
      <c r="C952" t="s">
        <v>82</v>
      </c>
      <c r="D952" t="s">
        <v>113</v>
      </c>
      <c r="E952" t="s">
        <v>20</v>
      </c>
      <c r="F952" t="s">
        <v>31</v>
      </c>
      <c r="G952" t="s">
        <v>38</v>
      </c>
      <c r="H952">
        <v>2023</v>
      </c>
      <c r="I952">
        <v>0.34556433920891205</v>
      </c>
    </row>
    <row r="953" spans="1:9">
      <c r="A953">
        <v>1</v>
      </c>
      <c r="B953">
        <v>6</v>
      </c>
      <c r="C953" t="s">
        <v>82</v>
      </c>
      <c r="D953" t="s">
        <v>113</v>
      </c>
      <c r="E953" t="s">
        <v>20</v>
      </c>
      <c r="F953" t="s">
        <v>31</v>
      </c>
      <c r="G953" t="s">
        <v>38</v>
      </c>
      <c r="H953">
        <v>2024</v>
      </c>
      <c r="I953">
        <v>0.50173014179523834</v>
      </c>
    </row>
    <row r="954" spans="1:9">
      <c r="A954">
        <v>1</v>
      </c>
      <c r="B954">
        <v>6</v>
      </c>
      <c r="C954" t="s">
        <v>82</v>
      </c>
      <c r="D954" t="s">
        <v>113</v>
      </c>
      <c r="E954" t="s">
        <v>20</v>
      </c>
      <c r="F954" t="s">
        <v>31</v>
      </c>
      <c r="G954" t="s">
        <v>38</v>
      </c>
      <c r="H954">
        <v>2025</v>
      </c>
      <c r="I954">
        <v>0.77435731268579</v>
      </c>
    </row>
    <row r="955" spans="1:9">
      <c r="A955">
        <v>1</v>
      </c>
      <c r="B955">
        <v>6</v>
      </c>
      <c r="C955" t="s">
        <v>82</v>
      </c>
      <c r="D955" t="s">
        <v>113</v>
      </c>
      <c r="E955" t="s">
        <v>20</v>
      </c>
      <c r="F955" t="s">
        <v>31</v>
      </c>
      <c r="G955" t="s">
        <v>38</v>
      </c>
      <c r="H955">
        <v>2026</v>
      </c>
      <c r="I955">
        <v>0.42694949425658085</v>
      </c>
    </row>
    <row r="956" spans="1:9">
      <c r="A956">
        <v>1</v>
      </c>
      <c r="B956">
        <v>6</v>
      </c>
      <c r="C956" t="s">
        <v>82</v>
      </c>
      <c r="D956" t="s">
        <v>113</v>
      </c>
      <c r="E956" t="s">
        <v>20</v>
      </c>
      <c r="F956" t="s">
        <v>31</v>
      </c>
      <c r="G956" t="s">
        <v>38</v>
      </c>
      <c r="H956">
        <v>2027</v>
      </c>
      <c r="I956">
        <v>0.65924596925113843</v>
      </c>
    </row>
    <row r="957" spans="1:9">
      <c r="A957">
        <v>1</v>
      </c>
      <c r="B957">
        <v>6</v>
      </c>
      <c r="C957" t="s">
        <v>82</v>
      </c>
      <c r="D957" t="s">
        <v>113</v>
      </c>
      <c r="E957" t="s">
        <v>20</v>
      </c>
      <c r="F957" t="s">
        <v>31</v>
      </c>
      <c r="G957" t="s">
        <v>38</v>
      </c>
      <c r="H957">
        <v>2028</v>
      </c>
      <c r="I957">
        <v>0.52578329392919798</v>
      </c>
    </row>
    <row r="958" spans="1:9">
      <c r="A958">
        <v>1</v>
      </c>
      <c r="B958">
        <v>6</v>
      </c>
      <c r="C958" t="s">
        <v>82</v>
      </c>
      <c r="D958" t="s">
        <v>113</v>
      </c>
      <c r="E958" t="s">
        <v>20</v>
      </c>
      <c r="F958" t="s">
        <v>31</v>
      </c>
      <c r="G958" t="s">
        <v>38</v>
      </c>
      <c r="H958">
        <v>2029</v>
      </c>
      <c r="I958">
        <v>0.82588645830954888</v>
      </c>
    </row>
    <row r="959" spans="1:9">
      <c r="A959">
        <v>1</v>
      </c>
      <c r="B959">
        <v>6</v>
      </c>
      <c r="C959" t="s">
        <v>82</v>
      </c>
      <c r="D959" t="s">
        <v>113</v>
      </c>
      <c r="E959" t="s">
        <v>20</v>
      </c>
      <c r="F959" t="s">
        <v>31</v>
      </c>
      <c r="G959" t="s">
        <v>38</v>
      </c>
      <c r="H959">
        <v>2030</v>
      </c>
      <c r="I959">
        <v>0.80640590974894244</v>
      </c>
    </row>
    <row r="960" spans="1:9">
      <c r="A960">
        <v>1</v>
      </c>
      <c r="B960">
        <v>6</v>
      </c>
      <c r="C960" t="s">
        <v>82</v>
      </c>
      <c r="D960" t="s">
        <v>113</v>
      </c>
      <c r="E960" t="s">
        <v>20</v>
      </c>
      <c r="F960" t="s">
        <v>31</v>
      </c>
      <c r="G960" t="s">
        <v>38</v>
      </c>
      <c r="H960">
        <v>2031</v>
      </c>
      <c r="I960">
        <v>0.47745840923245803</v>
      </c>
    </row>
    <row r="961" spans="1:9">
      <c r="A961">
        <v>1</v>
      </c>
      <c r="B961">
        <v>6</v>
      </c>
      <c r="C961" t="s">
        <v>82</v>
      </c>
      <c r="D961" t="s">
        <v>113</v>
      </c>
      <c r="E961" t="s">
        <v>20</v>
      </c>
      <c r="F961" t="s">
        <v>31</v>
      </c>
      <c r="G961" t="s">
        <v>38</v>
      </c>
      <c r="H961">
        <v>2032</v>
      </c>
      <c r="I961">
        <v>0.97838139338640906</v>
      </c>
    </row>
    <row r="962" spans="1:9">
      <c r="A962">
        <v>1</v>
      </c>
      <c r="B962">
        <v>6</v>
      </c>
      <c r="C962" t="s">
        <v>82</v>
      </c>
      <c r="D962" t="s">
        <v>113</v>
      </c>
      <c r="E962" t="s">
        <v>23</v>
      </c>
      <c r="F962" t="s">
        <v>32</v>
      </c>
      <c r="G962" t="s">
        <v>37</v>
      </c>
      <c r="H962">
        <v>2018</v>
      </c>
      <c r="I962">
        <v>1.9151582488980261</v>
      </c>
    </row>
    <row r="963" spans="1:9">
      <c r="A963">
        <v>1</v>
      </c>
      <c r="B963">
        <v>6</v>
      </c>
      <c r="C963" t="s">
        <v>82</v>
      </c>
      <c r="D963" t="s">
        <v>113</v>
      </c>
      <c r="E963" t="s">
        <v>23</v>
      </c>
      <c r="F963" t="s">
        <v>32</v>
      </c>
      <c r="G963" t="s">
        <v>37</v>
      </c>
      <c r="H963">
        <v>2019</v>
      </c>
      <c r="I963">
        <v>2.1453336456042695</v>
      </c>
    </row>
    <row r="964" spans="1:9">
      <c r="A964">
        <v>1</v>
      </c>
      <c r="B964">
        <v>6</v>
      </c>
      <c r="C964" t="s">
        <v>82</v>
      </c>
      <c r="D964" t="s">
        <v>113</v>
      </c>
      <c r="E964" t="s">
        <v>23</v>
      </c>
      <c r="F964" t="s">
        <v>32</v>
      </c>
      <c r="G964" t="s">
        <v>37</v>
      </c>
      <c r="H964">
        <v>2020</v>
      </c>
      <c r="I964">
        <v>2.4729211405129696</v>
      </c>
    </row>
    <row r="965" spans="1:9">
      <c r="A965">
        <v>1</v>
      </c>
      <c r="B965">
        <v>6</v>
      </c>
      <c r="C965" t="s">
        <v>82</v>
      </c>
      <c r="D965" t="s">
        <v>113</v>
      </c>
      <c r="E965" t="s">
        <v>23</v>
      </c>
      <c r="F965" t="s">
        <v>32</v>
      </c>
      <c r="G965" t="s">
        <v>37</v>
      </c>
      <c r="H965">
        <v>2021</v>
      </c>
      <c r="I965">
        <v>1.6593206301858201</v>
      </c>
    </row>
    <row r="966" spans="1:9">
      <c r="A966">
        <v>1</v>
      </c>
      <c r="B966">
        <v>6</v>
      </c>
      <c r="C966" t="s">
        <v>82</v>
      </c>
      <c r="D966" t="s">
        <v>113</v>
      </c>
      <c r="E966" t="s">
        <v>23</v>
      </c>
      <c r="F966" t="s">
        <v>32</v>
      </c>
      <c r="G966" t="s">
        <v>37</v>
      </c>
      <c r="H966">
        <v>2022</v>
      </c>
      <c r="I966">
        <v>1.7726377399411208</v>
      </c>
    </row>
    <row r="967" spans="1:9">
      <c r="A967">
        <v>1</v>
      </c>
      <c r="B967">
        <v>6</v>
      </c>
      <c r="C967" t="s">
        <v>82</v>
      </c>
      <c r="D967" t="s">
        <v>113</v>
      </c>
      <c r="E967" t="s">
        <v>23</v>
      </c>
      <c r="F967" t="s">
        <v>32</v>
      </c>
      <c r="G967" t="s">
        <v>37</v>
      </c>
      <c r="H967">
        <v>2023</v>
      </c>
      <c r="I967">
        <v>2.2812284723573177</v>
      </c>
    </row>
    <row r="968" spans="1:9">
      <c r="A968">
        <v>1</v>
      </c>
      <c r="B968">
        <v>6</v>
      </c>
      <c r="C968" t="s">
        <v>82</v>
      </c>
      <c r="D968" t="s">
        <v>113</v>
      </c>
      <c r="E968" t="s">
        <v>23</v>
      </c>
      <c r="F968" t="s">
        <v>32</v>
      </c>
      <c r="G968" t="s">
        <v>37</v>
      </c>
      <c r="H968">
        <v>2024</v>
      </c>
      <c r="I968">
        <v>3.1473134383375152</v>
      </c>
    </row>
    <row r="969" spans="1:9">
      <c r="A969">
        <v>1</v>
      </c>
      <c r="B969">
        <v>6</v>
      </c>
      <c r="C969" t="s">
        <v>82</v>
      </c>
      <c r="D969" t="s">
        <v>113</v>
      </c>
      <c r="E969" t="s">
        <v>23</v>
      </c>
      <c r="F969" t="s">
        <v>32</v>
      </c>
      <c r="G969" t="s">
        <v>37</v>
      </c>
      <c r="H969">
        <v>2025</v>
      </c>
      <c r="I969">
        <v>2.7293099585353584</v>
      </c>
    </row>
    <row r="970" spans="1:9">
      <c r="A970">
        <v>1</v>
      </c>
      <c r="B970">
        <v>6</v>
      </c>
      <c r="C970" t="s">
        <v>82</v>
      </c>
      <c r="D970" t="s">
        <v>113</v>
      </c>
      <c r="E970" t="s">
        <v>23</v>
      </c>
      <c r="F970" t="s">
        <v>32</v>
      </c>
      <c r="G970" t="s">
        <v>37</v>
      </c>
      <c r="H970">
        <v>2026</v>
      </c>
      <c r="I970">
        <v>2.3569388473052175</v>
      </c>
    </row>
    <row r="971" spans="1:9">
      <c r="A971">
        <v>1</v>
      </c>
      <c r="B971">
        <v>6</v>
      </c>
      <c r="C971" t="s">
        <v>82</v>
      </c>
      <c r="D971" t="s">
        <v>113</v>
      </c>
      <c r="E971" t="s">
        <v>23</v>
      </c>
      <c r="F971" t="s">
        <v>32</v>
      </c>
      <c r="G971" t="s">
        <v>37</v>
      </c>
      <c r="H971">
        <v>2027</v>
      </c>
      <c r="I971">
        <v>2.99936247295717</v>
      </c>
    </row>
    <row r="972" spans="1:9">
      <c r="A972">
        <v>1</v>
      </c>
      <c r="B972">
        <v>6</v>
      </c>
      <c r="C972" t="s">
        <v>82</v>
      </c>
      <c r="D972" t="s">
        <v>113</v>
      </c>
      <c r="E972" t="s">
        <v>23</v>
      </c>
      <c r="F972" t="s">
        <v>32</v>
      </c>
      <c r="G972" t="s">
        <v>37</v>
      </c>
      <c r="H972">
        <v>2028</v>
      </c>
      <c r="I972">
        <v>2.9561251285063088</v>
      </c>
    </row>
    <row r="973" spans="1:9">
      <c r="A973">
        <v>1</v>
      </c>
      <c r="B973">
        <v>6</v>
      </c>
      <c r="C973" t="s">
        <v>82</v>
      </c>
      <c r="D973" t="s">
        <v>113</v>
      </c>
      <c r="E973" t="s">
        <v>23</v>
      </c>
      <c r="F973" t="s">
        <v>32</v>
      </c>
      <c r="G973" t="s">
        <v>37</v>
      </c>
      <c r="H973">
        <v>2029</v>
      </c>
      <c r="I973">
        <v>2.076932286218621</v>
      </c>
    </row>
    <row r="974" spans="1:9">
      <c r="A974">
        <v>1</v>
      </c>
      <c r="B974">
        <v>6</v>
      </c>
      <c r="C974" t="s">
        <v>82</v>
      </c>
      <c r="D974" t="s">
        <v>113</v>
      </c>
      <c r="E974" t="s">
        <v>23</v>
      </c>
      <c r="F974" t="s">
        <v>32</v>
      </c>
      <c r="G974" t="s">
        <v>37</v>
      </c>
      <c r="H974">
        <v>2030</v>
      </c>
      <c r="I974">
        <v>2.8828933845689901</v>
      </c>
    </row>
    <row r="975" spans="1:9">
      <c r="A975">
        <v>1</v>
      </c>
      <c r="B975">
        <v>6</v>
      </c>
      <c r="C975" t="s">
        <v>82</v>
      </c>
      <c r="D975" t="s">
        <v>113</v>
      </c>
      <c r="E975" t="s">
        <v>23</v>
      </c>
      <c r="F975" t="s">
        <v>32</v>
      </c>
      <c r="G975" t="s">
        <v>37</v>
      </c>
      <c r="H975">
        <v>2031</v>
      </c>
      <c r="I975">
        <v>2.0089759172867923</v>
      </c>
    </row>
    <row r="976" spans="1:9">
      <c r="A976">
        <v>1</v>
      </c>
      <c r="B976">
        <v>6</v>
      </c>
      <c r="C976" t="s">
        <v>82</v>
      </c>
      <c r="D976" t="s">
        <v>113</v>
      </c>
      <c r="E976" t="s">
        <v>23</v>
      </c>
      <c r="F976" t="s">
        <v>32</v>
      </c>
      <c r="G976" t="s">
        <v>37</v>
      </c>
      <c r="H976">
        <v>2032</v>
      </c>
      <c r="I976">
        <v>4.207797214428572</v>
      </c>
    </row>
    <row r="977" spans="1:9">
      <c r="A977">
        <v>1</v>
      </c>
      <c r="B977">
        <v>6</v>
      </c>
      <c r="C977" t="s">
        <v>82</v>
      </c>
      <c r="D977" t="s">
        <v>113</v>
      </c>
      <c r="E977" t="s">
        <v>23</v>
      </c>
      <c r="F977" t="s">
        <v>32</v>
      </c>
      <c r="G977" t="s">
        <v>38</v>
      </c>
      <c r="H977">
        <v>2018</v>
      </c>
      <c r="I977">
        <v>0.85233196027784741</v>
      </c>
    </row>
    <row r="978" spans="1:9">
      <c r="A978">
        <v>1</v>
      </c>
      <c r="B978">
        <v>6</v>
      </c>
      <c r="C978" t="s">
        <v>82</v>
      </c>
      <c r="D978" t="s">
        <v>113</v>
      </c>
      <c r="E978" t="s">
        <v>23</v>
      </c>
      <c r="F978" t="s">
        <v>32</v>
      </c>
      <c r="G978" t="s">
        <v>38</v>
      </c>
      <c r="H978">
        <v>2019</v>
      </c>
      <c r="I978">
        <v>1.0338408648226518</v>
      </c>
    </row>
    <row r="979" spans="1:9">
      <c r="A979">
        <v>1</v>
      </c>
      <c r="B979">
        <v>6</v>
      </c>
      <c r="C979" t="s">
        <v>82</v>
      </c>
      <c r="D979" t="s">
        <v>113</v>
      </c>
      <c r="E979" t="s">
        <v>23</v>
      </c>
      <c r="F979" t="s">
        <v>32</v>
      </c>
      <c r="G979" t="s">
        <v>38</v>
      </c>
      <c r="H979">
        <v>2020</v>
      </c>
      <c r="I979">
        <v>0.66847536608304658</v>
      </c>
    </row>
    <row r="980" spans="1:9">
      <c r="A980">
        <v>1</v>
      </c>
      <c r="B980">
        <v>6</v>
      </c>
      <c r="C980" t="s">
        <v>82</v>
      </c>
      <c r="D980" t="s">
        <v>113</v>
      </c>
      <c r="E980" t="s">
        <v>23</v>
      </c>
      <c r="F980" t="s">
        <v>32</v>
      </c>
      <c r="G980" t="s">
        <v>38</v>
      </c>
      <c r="H980">
        <v>2021</v>
      </c>
      <c r="I980">
        <v>0.90026085709887205</v>
      </c>
    </row>
    <row r="981" spans="1:9">
      <c r="A981">
        <v>1</v>
      </c>
      <c r="B981">
        <v>6</v>
      </c>
      <c r="C981" t="s">
        <v>82</v>
      </c>
      <c r="D981" t="s">
        <v>113</v>
      </c>
      <c r="E981" t="s">
        <v>23</v>
      </c>
      <c r="F981" t="s">
        <v>32</v>
      </c>
      <c r="G981" t="s">
        <v>38</v>
      </c>
      <c r="H981">
        <v>2022</v>
      </c>
      <c r="I981">
        <v>0.8800083647598802</v>
      </c>
    </row>
    <row r="982" spans="1:9">
      <c r="A982">
        <v>1</v>
      </c>
      <c r="B982">
        <v>6</v>
      </c>
      <c r="C982" t="s">
        <v>82</v>
      </c>
      <c r="D982" t="s">
        <v>113</v>
      </c>
      <c r="E982" t="s">
        <v>23</v>
      </c>
      <c r="F982" t="s">
        <v>32</v>
      </c>
      <c r="G982" t="s">
        <v>38</v>
      </c>
      <c r="H982">
        <v>2023</v>
      </c>
      <c r="I982">
        <v>1.1658296297254487</v>
      </c>
    </row>
    <row r="983" spans="1:9">
      <c r="A983">
        <v>1</v>
      </c>
      <c r="B983">
        <v>6</v>
      </c>
      <c r="C983" t="s">
        <v>82</v>
      </c>
      <c r="D983" t="s">
        <v>113</v>
      </c>
      <c r="E983" t="s">
        <v>23</v>
      </c>
      <c r="F983" t="s">
        <v>32</v>
      </c>
      <c r="G983" t="s">
        <v>38</v>
      </c>
      <c r="H983">
        <v>2024</v>
      </c>
      <c r="I983">
        <v>1.0145908612112076</v>
      </c>
    </row>
    <row r="984" spans="1:9">
      <c r="A984">
        <v>1</v>
      </c>
      <c r="B984">
        <v>6</v>
      </c>
      <c r="C984" t="s">
        <v>82</v>
      </c>
      <c r="D984" t="s">
        <v>113</v>
      </c>
      <c r="E984" t="s">
        <v>23</v>
      </c>
      <c r="F984" t="s">
        <v>32</v>
      </c>
      <c r="G984" t="s">
        <v>38</v>
      </c>
      <c r="H984">
        <v>2025</v>
      </c>
      <c r="I984">
        <v>1.1225688461316352</v>
      </c>
    </row>
    <row r="985" spans="1:9">
      <c r="A985">
        <v>1</v>
      </c>
      <c r="B985">
        <v>6</v>
      </c>
      <c r="C985" t="s">
        <v>82</v>
      </c>
      <c r="D985" t="s">
        <v>113</v>
      </c>
      <c r="E985" t="s">
        <v>23</v>
      </c>
      <c r="F985" t="s">
        <v>32</v>
      </c>
      <c r="G985" t="s">
        <v>38</v>
      </c>
      <c r="H985">
        <v>2026</v>
      </c>
      <c r="I985">
        <v>1.1927258551155955</v>
      </c>
    </row>
    <row r="986" spans="1:9">
      <c r="A986">
        <v>1</v>
      </c>
      <c r="B986">
        <v>6</v>
      </c>
      <c r="C986" t="s">
        <v>82</v>
      </c>
      <c r="D986" t="s">
        <v>113</v>
      </c>
      <c r="E986" t="s">
        <v>23</v>
      </c>
      <c r="F986" t="s">
        <v>32</v>
      </c>
      <c r="G986" t="s">
        <v>38</v>
      </c>
      <c r="H986">
        <v>2027</v>
      </c>
      <c r="I986">
        <v>1.324838563084874</v>
      </c>
    </row>
    <row r="987" spans="1:9">
      <c r="A987">
        <v>1</v>
      </c>
      <c r="B987">
        <v>6</v>
      </c>
      <c r="C987" t="s">
        <v>82</v>
      </c>
      <c r="D987" t="s">
        <v>113</v>
      </c>
      <c r="E987" t="s">
        <v>23</v>
      </c>
      <c r="F987" t="s">
        <v>32</v>
      </c>
      <c r="G987" t="s">
        <v>38</v>
      </c>
      <c r="H987">
        <v>2028</v>
      </c>
      <c r="I987">
        <v>1.4389243715464632</v>
      </c>
    </row>
    <row r="988" spans="1:9">
      <c r="A988">
        <v>1</v>
      </c>
      <c r="B988">
        <v>6</v>
      </c>
      <c r="C988" t="s">
        <v>82</v>
      </c>
      <c r="D988" t="s">
        <v>113</v>
      </c>
      <c r="E988" t="s">
        <v>23</v>
      </c>
      <c r="F988" t="s">
        <v>32</v>
      </c>
      <c r="G988" t="s">
        <v>38</v>
      </c>
      <c r="H988">
        <v>2029</v>
      </c>
      <c r="I988">
        <v>1.3588793355595474</v>
      </c>
    </row>
    <row r="989" spans="1:9">
      <c r="A989">
        <v>1</v>
      </c>
      <c r="B989">
        <v>6</v>
      </c>
      <c r="C989" t="s">
        <v>82</v>
      </c>
      <c r="D989" t="s">
        <v>113</v>
      </c>
      <c r="E989" t="s">
        <v>23</v>
      </c>
      <c r="F989" t="s">
        <v>32</v>
      </c>
      <c r="G989" t="s">
        <v>38</v>
      </c>
      <c r="H989">
        <v>2030</v>
      </c>
      <c r="I989">
        <v>1.6801062282213062</v>
      </c>
    </row>
    <row r="990" spans="1:9">
      <c r="A990">
        <v>1</v>
      </c>
      <c r="B990">
        <v>6</v>
      </c>
      <c r="C990" t="s">
        <v>82</v>
      </c>
      <c r="D990" t="s">
        <v>113</v>
      </c>
      <c r="E990" t="s">
        <v>23</v>
      </c>
      <c r="F990" t="s">
        <v>32</v>
      </c>
      <c r="G990" t="s">
        <v>38</v>
      </c>
      <c r="H990">
        <v>2031</v>
      </c>
      <c r="I990">
        <v>1.4291466963325141</v>
      </c>
    </row>
    <row r="991" spans="1:9">
      <c r="A991">
        <v>1</v>
      </c>
      <c r="B991">
        <v>6</v>
      </c>
      <c r="C991" t="s">
        <v>82</v>
      </c>
      <c r="D991" t="s">
        <v>113</v>
      </c>
      <c r="E991" t="s">
        <v>23</v>
      </c>
      <c r="F991" t="s">
        <v>32</v>
      </c>
      <c r="G991" t="s">
        <v>38</v>
      </c>
      <c r="H991">
        <v>2032</v>
      </c>
      <c r="I991">
        <v>1.4194501679479363</v>
      </c>
    </row>
    <row r="992" spans="1:9">
      <c r="A992">
        <v>1</v>
      </c>
      <c r="B992">
        <v>6</v>
      </c>
      <c r="C992" t="s">
        <v>82</v>
      </c>
      <c r="D992" t="s">
        <v>114</v>
      </c>
      <c r="E992" t="s">
        <v>25</v>
      </c>
      <c r="F992" t="s">
        <v>115</v>
      </c>
      <c r="G992" t="s">
        <v>37</v>
      </c>
      <c r="H992">
        <v>2018</v>
      </c>
      <c r="I992">
        <v>2.1241209347354459</v>
      </c>
    </row>
    <row r="993" spans="1:9">
      <c r="A993">
        <v>1</v>
      </c>
      <c r="B993">
        <v>6</v>
      </c>
      <c r="C993" t="s">
        <v>82</v>
      </c>
      <c r="D993" t="s">
        <v>114</v>
      </c>
      <c r="E993" t="s">
        <v>25</v>
      </c>
      <c r="F993" t="s">
        <v>115</v>
      </c>
      <c r="G993" t="s">
        <v>37</v>
      </c>
      <c r="H993">
        <v>2019</v>
      </c>
      <c r="I993">
        <v>1.5198339545658204</v>
      </c>
    </row>
    <row r="994" spans="1:9">
      <c r="A994">
        <v>1</v>
      </c>
      <c r="B994">
        <v>6</v>
      </c>
      <c r="C994" t="s">
        <v>82</v>
      </c>
      <c r="D994" t="s">
        <v>114</v>
      </c>
      <c r="E994" t="s">
        <v>25</v>
      </c>
      <c r="F994" t="s">
        <v>115</v>
      </c>
      <c r="G994" t="s">
        <v>37</v>
      </c>
      <c r="H994">
        <v>2020</v>
      </c>
      <c r="I994">
        <v>2.485548080140167</v>
      </c>
    </row>
    <row r="995" spans="1:9">
      <c r="A995">
        <v>1</v>
      </c>
      <c r="B995">
        <v>6</v>
      </c>
      <c r="C995" t="s">
        <v>82</v>
      </c>
      <c r="D995" t="s">
        <v>114</v>
      </c>
      <c r="E995" t="s">
        <v>25</v>
      </c>
      <c r="F995" t="s">
        <v>115</v>
      </c>
      <c r="G995" t="s">
        <v>37</v>
      </c>
      <c r="H995">
        <v>2021</v>
      </c>
      <c r="I995">
        <v>1.7257584030614894</v>
      </c>
    </row>
    <row r="996" spans="1:9">
      <c r="A996">
        <v>1</v>
      </c>
      <c r="B996">
        <v>6</v>
      </c>
      <c r="C996" t="s">
        <v>82</v>
      </c>
      <c r="D996" t="s">
        <v>114</v>
      </c>
      <c r="E996" t="s">
        <v>25</v>
      </c>
      <c r="F996" t="s">
        <v>115</v>
      </c>
      <c r="G996" t="s">
        <v>37</v>
      </c>
      <c r="H996">
        <v>2022</v>
      </c>
      <c r="I996">
        <v>2.2802900104851616</v>
      </c>
    </row>
    <row r="997" spans="1:9">
      <c r="A997">
        <v>1</v>
      </c>
      <c r="B997">
        <v>6</v>
      </c>
      <c r="C997" t="s">
        <v>82</v>
      </c>
      <c r="D997" t="s">
        <v>114</v>
      </c>
      <c r="E997" t="s">
        <v>25</v>
      </c>
      <c r="F997" t="s">
        <v>115</v>
      </c>
      <c r="G997" t="s">
        <v>37</v>
      </c>
      <c r="H997">
        <v>2023</v>
      </c>
      <c r="I997">
        <v>2.1035112798350699</v>
      </c>
    </row>
    <row r="998" spans="1:9">
      <c r="A998">
        <v>1</v>
      </c>
      <c r="B998">
        <v>6</v>
      </c>
      <c r="C998" t="s">
        <v>82</v>
      </c>
      <c r="D998" t="s">
        <v>114</v>
      </c>
      <c r="E998" t="s">
        <v>25</v>
      </c>
      <c r="F998" t="s">
        <v>115</v>
      </c>
      <c r="G998" t="s">
        <v>37</v>
      </c>
      <c r="H998">
        <v>2024</v>
      </c>
      <c r="I998">
        <v>2.7265134311305355</v>
      </c>
    </row>
    <row r="999" spans="1:9">
      <c r="A999">
        <v>1</v>
      </c>
      <c r="B999">
        <v>6</v>
      </c>
      <c r="C999" t="s">
        <v>82</v>
      </c>
      <c r="D999" t="s">
        <v>114</v>
      </c>
      <c r="E999" t="s">
        <v>25</v>
      </c>
      <c r="F999" t="s">
        <v>115</v>
      </c>
      <c r="G999" t="s">
        <v>37</v>
      </c>
      <c r="H999">
        <v>2025</v>
      </c>
      <c r="I999">
        <v>3.1438765621696461</v>
      </c>
    </row>
    <row r="1000" spans="1:9">
      <c r="A1000">
        <v>1</v>
      </c>
      <c r="B1000">
        <v>6</v>
      </c>
      <c r="C1000" t="s">
        <v>82</v>
      </c>
      <c r="D1000" t="s">
        <v>114</v>
      </c>
      <c r="E1000" t="s">
        <v>25</v>
      </c>
      <c r="F1000" t="s">
        <v>115</v>
      </c>
      <c r="G1000" t="s">
        <v>37</v>
      </c>
      <c r="H1000">
        <v>2026</v>
      </c>
      <c r="I1000">
        <v>1.7785829999880389</v>
      </c>
    </row>
    <row r="1001" spans="1:9">
      <c r="A1001">
        <v>1</v>
      </c>
      <c r="B1001">
        <v>6</v>
      </c>
      <c r="C1001" t="s">
        <v>82</v>
      </c>
      <c r="D1001" t="s">
        <v>114</v>
      </c>
      <c r="E1001" t="s">
        <v>25</v>
      </c>
      <c r="F1001" t="s">
        <v>115</v>
      </c>
      <c r="G1001" t="s">
        <v>37</v>
      </c>
      <c r="H1001">
        <v>2027</v>
      </c>
      <c r="I1001">
        <v>3.1045856629295896</v>
      </c>
    </row>
    <row r="1002" spans="1:9">
      <c r="A1002">
        <v>1</v>
      </c>
      <c r="B1002">
        <v>6</v>
      </c>
      <c r="C1002" t="s">
        <v>82</v>
      </c>
      <c r="D1002" t="s">
        <v>114</v>
      </c>
      <c r="E1002" t="s">
        <v>25</v>
      </c>
      <c r="F1002" t="s">
        <v>115</v>
      </c>
      <c r="G1002" t="s">
        <v>37</v>
      </c>
      <c r="H1002">
        <v>2028</v>
      </c>
      <c r="I1002">
        <v>2.0771541130684126</v>
      </c>
    </row>
    <row r="1003" spans="1:9">
      <c r="A1003">
        <v>1</v>
      </c>
      <c r="B1003">
        <v>6</v>
      </c>
      <c r="C1003" t="s">
        <v>82</v>
      </c>
      <c r="D1003" t="s">
        <v>114</v>
      </c>
      <c r="E1003" t="s">
        <v>25</v>
      </c>
      <c r="F1003" t="s">
        <v>115</v>
      </c>
      <c r="G1003" t="s">
        <v>37</v>
      </c>
      <c r="H1003">
        <v>2029</v>
      </c>
      <c r="I1003">
        <v>3.8974715633097889</v>
      </c>
    </row>
    <row r="1004" spans="1:9">
      <c r="A1004">
        <v>1</v>
      </c>
      <c r="B1004">
        <v>6</v>
      </c>
      <c r="C1004" t="s">
        <v>82</v>
      </c>
      <c r="D1004" t="s">
        <v>114</v>
      </c>
      <c r="E1004" t="s">
        <v>25</v>
      </c>
      <c r="F1004" t="s">
        <v>115</v>
      </c>
      <c r="G1004" t="s">
        <v>37</v>
      </c>
      <c r="H1004">
        <v>2030</v>
      </c>
      <c r="I1004">
        <v>3.6600632015798107</v>
      </c>
    </row>
    <row r="1005" spans="1:9">
      <c r="A1005">
        <v>1</v>
      </c>
      <c r="B1005">
        <v>6</v>
      </c>
      <c r="C1005" t="s">
        <v>82</v>
      </c>
      <c r="D1005" t="s">
        <v>114</v>
      </c>
      <c r="E1005" t="s">
        <v>25</v>
      </c>
      <c r="F1005" t="s">
        <v>115</v>
      </c>
      <c r="G1005" t="s">
        <v>37</v>
      </c>
      <c r="H1005">
        <v>2031</v>
      </c>
      <c r="I1005">
        <v>2.894518335402033</v>
      </c>
    </row>
    <row r="1006" spans="1:9">
      <c r="A1006">
        <v>1</v>
      </c>
      <c r="B1006">
        <v>6</v>
      </c>
      <c r="C1006" t="s">
        <v>82</v>
      </c>
      <c r="D1006" t="s">
        <v>114</v>
      </c>
      <c r="E1006" t="s">
        <v>25</v>
      </c>
      <c r="F1006" t="s">
        <v>115</v>
      </c>
      <c r="G1006" t="s">
        <v>37</v>
      </c>
      <c r="H1006">
        <v>2032</v>
      </c>
      <c r="I1006">
        <v>2.7574643659187457</v>
      </c>
    </row>
    <row r="1007" spans="1:9">
      <c r="A1007">
        <v>1</v>
      </c>
      <c r="B1007">
        <v>6</v>
      </c>
      <c r="C1007" t="s">
        <v>82</v>
      </c>
      <c r="D1007" t="s">
        <v>114</v>
      </c>
      <c r="E1007" t="s">
        <v>25</v>
      </c>
      <c r="F1007" t="s">
        <v>115</v>
      </c>
      <c r="G1007" t="s">
        <v>38</v>
      </c>
      <c r="H1007">
        <v>2018</v>
      </c>
      <c r="I1007">
        <v>1.1451784703597792</v>
      </c>
    </row>
    <row r="1008" spans="1:9">
      <c r="A1008">
        <v>1</v>
      </c>
      <c r="B1008">
        <v>6</v>
      </c>
      <c r="C1008" t="s">
        <v>82</v>
      </c>
      <c r="D1008" t="s">
        <v>114</v>
      </c>
      <c r="E1008" t="s">
        <v>25</v>
      </c>
      <c r="F1008" t="s">
        <v>115</v>
      </c>
      <c r="G1008" t="s">
        <v>38</v>
      </c>
      <c r="H1008">
        <v>2019</v>
      </c>
      <c r="I1008">
        <v>0.91774244973835273</v>
      </c>
    </row>
    <row r="1009" spans="1:9">
      <c r="A1009">
        <v>1</v>
      </c>
      <c r="B1009">
        <v>6</v>
      </c>
      <c r="C1009" t="s">
        <v>82</v>
      </c>
      <c r="D1009" t="s">
        <v>114</v>
      </c>
      <c r="E1009" t="s">
        <v>25</v>
      </c>
      <c r="F1009" t="s">
        <v>115</v>
      </c>
      <c r="G1009" t="s">
        <v>38</v>
      </c>
      <c r="H1009">
        <v>2020</v>
      </c>
      <c r="I1009">
        <v>1.179610556220748</v>
      </c>
    </row>
    <row r="1010" spans="1:9">
      <c r="A1010">
        <v>1</v>
      </c>
      <c r="B1010">
        <v>6</v>
      </c>
      <c r="C1010" t="s">
        <v>82</v>
      </c>
      <c r="D1010" t="s">
        <v>114</v>
      </c>
      <c r="E1010" t="s">
        <v>25</v>
      </c>
      <c r="F1010" t="s">
        <v>115</v>
      </c>
      <c r="G1010" t="s">
        <v>38</v>
      </c>
      <c r="H1010">
        <v>2021</v>
      </c>
      <c r="I1010">
        <v>1.1006069982251396</v>
      </c>
    </row>
    <row r="1011" spans="1:9">
      <c r="A1011">
        <v>1</v>
      </c>
      <c r="B1011">
        <v>6</v>
      </c>
      <c r="C1011" t="s">
        <v>82</v>
      </c>
      <c r="D1011" t="s">
        <v>114</v>
      </c>
      <c r="E1011" t="s">
        <v>25</v>
      </c>
      <c r="F1011" t="s">
        <v>115</v>
      </c>
      <c r="G1011" t="s">
        <v>38</v>
      </c>
      <c r="H1011">
        <v>2022</v>
      </c>
      <c r="I1011">
        <v>1.2366064882703527</v>
      </c>
    </row>
    <row r="1012" spans="1:9">
      <c r="A1012">
        <v>1</v>
      </c>
      <c r="B1012">
        <v>6</v>
      </c>
      <c r="C1012" t="s">
        <v>82</v>
      </c>
      <c r="D1012" t="s">
        <v>114</v>
      </c>
      <c r="E1012" t="s">
        <v>25</v>
      </c>
      <c r="F1012" t="s">
        <v>115</v>
      </c>
      <c r="G1012" t="s">
        <v>38</v>
      </c>
      <c r="H1012">
        <v>2023</v>
      </c>
      <c r="I1012">
        <v>0.97743292947570326</v>
      </c>
    </row>
    <row r="1013" spans="1:9">
      <c r="A1013">
        <v>1</v>
      </c>
      <c r="B1013">
        <v>6</v>
      </c>
      <c r="C1013" t="s">
        <v>82</v>
      </c>
      <c r="D1013" t="s">
        <v>114</v>
      </c>
      <c r="E1013" t="s">
        <v>25</v>
      </c>
      <c r="F1013" t="s">
        <v>115</v>
      </c>
      <c r="G1013" t="s">
        <v>38</v>
      </c>
      <c r="H1013">
        <v>2024</v>
      </c>
      <c r="I1013">
        <v>1.4352185979570011</v>
      </c>
    </row>
    <row r="1014" spans="1:9">
      <c r="A1014">
        <v>1</v>
      </c>
      <c r="B1014">
        <v>6</v>
      </c>
      <c r="C1014" t="s">
        <v>82</v>
      </c>
      <c r="D1014" t="s">
        <v>114</v>
      </c>
      <c r="E1014" t="s">
        <v>25</v>
      </c>
      <c r="F1014" t="s">
        <v>115</v>
      </c>
      <c r="G1014" t="s">
        <v>38</v>
      </c>
      <c r="H1014">
        <v>2025</v>
      </c>
      <c r="I1014">
        <v>1.3865043779155428</v>
      </c>
    </row>
    <row r="1015" spans="1:9">
      <c r="A1015">
        <v>1</v>
      </c>
      <c r="B1015">
        <v>6</v>
      </c>
      <c r="C1015" t="s">
        <v>82</v>
      </c>
      <c r="D1015" t="s">
        <v>114</v>
      </c>
      <c r="E1015" t="s">
        <v>25</v>
      </c>
      <c r="F1015" t="s">
        <v>115</v>
      </c>
      <c r="G1015" t="s">
        <v>38</v>
      </c>
      <c r="H1015">
        <v>2026</v>
      </c>
      <c r="I1015">
        <v>1.5060464287029822</v>
      </c>
    </row>
    <row r="1016" spans="1:9">
      <c r="A1016">
        <v>1</v>
      </c>
      <c r="B1016">
        <v>6</v>
      </c>
      <c r="C1016" t="s">
        <v>82</v>
      </c>
      <c r="D1016" t="s">
        <v>114</v>
      </c>
      <c r="E1016" t="s">
        <v>25</v>
      </c>
      <c r="F1016" t="s">
        <v>115</v>
      </c>
      <c r="G1016" t="s">
        <v>38</v>
      </c>
      <c r="H1016">
        <v>2027</v>
      </c>
      <c r="I1016">
        <v>1.1679982114345733</v>
      </c>
    </row>
    <row r="1017" spans="1:9">
      <c r="A1017">
        <v>1</v>
      </c>
      <c r="B1017">
        <v>6</v>
      </c>
      <c r="C1017" t="s">
        <v>82</v>
      </c>
      <c r="D1017" t="s">
        <v>114</v>
      </c>
      <c r="E1017" t="s">
        <v>25</v>
      </c>
      <c r="F1017" t="s">
        <v>115</v>
      </c>
      <c r="G1017" t="s">
        <v>38</v>
      </c>
      <c r="H1017">
        <v>2028</v>
      </c>
      <c r="I1017">
        <v>1.4694050297719694</v>
      </c>
    </row>
    <row r="1018" spans="1:9">
      <c r="A1018">
        <v>1</v>
      </c>
      <c r="B1018">
        <v>6</v>
      </c>
      <c r="C1018" t="s">
        <v>82</v>
      </c>
      <c r="D1018" t="s">
        <v>114</v>
      </c>
      <c r="E1018" t="s">
        <v>25</v>
      </c>
      <c r="F1018" t="s">
        <v>115</v>
      </c>
      <c r="G1018" t="s">
        <v>38</v>
      </c>
      <c r="H1018">
        <v>2029</v>
      </c>
      <c r="I1018">
        <v>1.66322601787002</v>
      </c>
    </row>
    <row r="1019" spans="1:9">
      <c r="A1019">
        <v>1</v>
      </c>
      <c r="B1019">
        <v>6</v>
      </c>
      <c r="C1019" t="s">
        <v>82</v>
      </c>
      <c r="D1019" t="s">
        <v>114</v>
      </c>
      <c r="E1019" t="s">
        <v>25</v>
      </c>
      <c r="F1019" t="s">
        <v>115</v>
      </c>
      <c r="G1019" t="s">
        <v>38</v>
      </c>
      <c r="H1019">
        <v>2030</v>
      </c>
      <c r="I1019">
        <v>1.3853759247583355</v>
      </c>
    </row>
    <row r="1020" spans="1:9">
      <c r="A1020">
        <v>1</v>
      </c>
      <c r="B1020">
        <v>6</v>
      </c>
      <c r="C1020" t="s">
        <v>82</v>
      </c>
      <c r="D1020" t="s">
        <v>114</v>
      </c>
      <c r="E1020" t="s">
        <v>25</v>
      </c>
      <c r="F1020" t="s">
        <v>115</v>
      </c>
      <c r="G1020" t="s">
        <v>38</v>
      </c>
      <c r="H1020">
        <v>2031</v>
      </c>
      <c r="I1020">
        <v>1.582690674937749</v>
      </c>
    </row>
    <row r="1021" spans="1:9">
      <c r="A1021">
        <v>1</v>
      </c>
      <c r="B1021">
        <v>6</v>
      </c>
      <c r="C1021" t="s">
        <v>82</v>
      </c>
      <c r="D1021" t="s">
        <v>114</v>
      </c>
      <c r="E1021" t="s">
        <v>25</v>
      </c>
      <c r="F1021" t="s">
        <v>115</v>
      </c>
      <c r="G1021" t="s">
        <v>38</v>
      </c>
      <c r="H1021">
        <v>2032</v>
      </c>
      <c r="I1021">
        <v>1.1244552845801099</v>
      </c>
    </row>
    <row r="1022" spans="1:9">
      <c r="A1022">
        <v>1</v>
      </c>
      <c r="B1022">
        <v>6</v>
      </c>
      <c r="C1022" t="s">
        <v>82</v>
      </c>
      <c r="D1022" t="s">
        <v>114</v>
      </c>
      <c r="E1022" t="s">
        <v>25</v>
      </c>
      <c r="F1022" t="s">
        <v>116</v>
      </c>
      <c r="G1022" t="s">
        <v>37</v>
      </c>
      <c r="H1022">
        <v>2018</v>
      </c>
      <c r="I1022">
        <v>0.78592215675096955</v>
      </c>
    </row>
    <row r="1023" spans="1:9">
      <c r="A1023">
        <v>1</v>
      </c>
      <c r="B1023">
        <v>6</v>
      </c>
      <c r="C1023" t="s">
        <v>82</v>
      </c>
      <c r="D1023" t="s">
        <v>114</v>
      </c>
      <c r="E1023" t="s">
        <v>25</v>
      </c>
      <c r="F1023" t="s">
        <v>116</v>
      </c>
      <c r="G1023" t="s">
        <v>37</v>
      </c>
      <c r="H1023">
        <v>2019</v>
      </c>
      <c r="I1023">
        <v>1.0297460747104896</v>
      </c>
    </row>
    <row r="1024" spans="1:9">
      <c r="A1024">
        <v>1</v>
      </c>
      <c r="B1024">
        <v>6</v>
      </c>
      <c r="C1024" t="s">
        <v>82</v>
      </c>
      <c r="D1024" t="s">
        <v>114</v>
      </c>
      <c r="E1024" t="s">
        <v>25</v>
      </c>
      <c r="F1024" t="s">
        <v>116</v>
      </c>
      <c r="G1024" t="s">
        <v>37</v>
      </c>
      <c r="H1024">
        <v>2020</v>
      </c>
      <c r="I1024">
        <v>0.80006712192447793</v>
      </c>
    </row>
    <row r="1025" spans="1:9">
      <c r="A1025">
        <v>1</v>
      </c>
      <c r="B1025">
        <v>6</v>
      </c>
      <c r="C1025" t="s">
        <v>82</v>
      </c>
      <c r="D1025" t="s">
        <v>114</v>
      </c>
      <c r="E1025" t="s">
        <v>25</v>
      </c>
      <c r="F1025" t="s">
        <v>116</v>
      </c>
      <c r="G1025" t="s">
        <v>37</v>
      </c>
      <c r="H1025">
        <v>2021</v>
      </c>
      <c r="I1025">
        <v>1.1031091236022679</v>
      </c>
    </row>
    <row r="1026" spans="1:9">
      <c r="A1026">
        <v>1</v>
      </c>
      <c r="B1026">
        <v>6</v>
      </c>
      <c r="C1026" t="s">
        <v>82</v>
      </c>
      <c r="D1026" t="s">
        <v>114</v>
      </c>
      <c r="E1026" t="s">
        <v>25</v>
      </c>
      <c r="F1026" t="s">
        <v>116</v>
      </c>
      <c r="G1026" t="s">
        <v>37</v>
      </c>
      <c r="H1026">
        <v>2022</v>
      </c>
      <c r="I1026">
        <v>1.1131604068093104</v>
      </c>
    </row>
    <row r="1027" spans="1:9">
      <c r="A1027">
        <v>1</v>
      </c>
      <c r="B1027">
        <v>6</v>
      </c>
      <c r="C1027" t="s">
        <v>82</v>
      </c>
      <c r="D1027" t="s">
        <v>114</v>
      </c>
      <c r="E1027" t="s">
        <v>25</v>
      </c>
      <c r="F1027" t="s">
        <v>116</v>
      </c>
      <c r="G1027" t="s">
        <v>37</v>
      </c>
      <c r="H1027">
        <v>2023</v>
      </c>
      <c r="I1027">
        <v>0.8846764093148044</v>
      </c>
    </row>
    <row r="1028" spans="1:9">
      <c r="A1028">
        <v>1</v>
      </c>
      <c r="B1028">
        <v>6</v>
      </c>
      <c r="C1028" t="s">
        <v>82</v>
      </c>
      <c r="D1028" t="s">
        <v>114</v>
      </c>
      <c r="E1028" t="s">
        <v>25</v>
      </c>
      <c r="F1028" t="s">
        <v>116</v>
      </c>
      <c r="G1028" t="s">
        <v>37</v>
      </c>
      <c r="H1028">
        <v>2024</v>
      </c>
      <c r="I1028">
        <v>0.95522146162543631</v>
      </c>
    </row>
    <row r="1029" spans="1:9">
      <c r="A1029">
        <v>1</v>
      </c>
      <c r="B1029">
        <v>6</v>
      </c>
      <c r="C1029" t="s">
        <v>82</v>
      </c>
      <c r="D1029" t="s">
        <v>114</v>
      </c>
      <c r="E1029" t="s">
        <v>25</v>
      </c>
      <c r="F1029" t="s">
        <v>116</v>
      </c>
      <c r="G1029" t="s">
        <v>37</v>
      </c>
      <c r="H1029">
        <v>2025</v>
      </c>
      <c r="I1029">
        <v>1.0216244342413541</v>
      </c>
    </row>
    <row r="1030" spans="1:9">
      <c r="A1030">
        <v>1</v>
      </c>
      <c r="B1030">
        <v>6</v>
      </c>
      <c r="C1030" t="s">
        <v>82</v>
      </c>
      <c r="D1030" t="s">
        <v>114</v>
      </c>
      <c r="E1030" t="s">
        <v>25</v>
      </c>
      <c r="F1030" t="s">
        <v>116</v>
      </c>
      <c r="G1030" t="s">
        <v>37</v>
      </c>
      <c r="H1030">
        <v>2026</v>
      </c>
      <c r="I1030">
        <v>0.86297767368176959</v>
      </c>
    </row>
    <row r="1031" spans="1:9">
      <c r="A1031">
        <v>1</v>
      </c>
      <c r="B1031">
        <v>6</v>
      </c>
      <c r="C1031" t="s">
        <v>82</v>
      </c>
      <c r="D1031" t="s">
        <v>114</v>
      </c>
      <c r="E1031" t="s">
        <v>25</v>
      </c>
      <c r="F1031" t="s">
        <v>116</v>
      </c>
      <c r="G1031" t="s">
        <v>37</v>
      </c>
      <c r="H1031">
        <v>2027</v>
      </c>
      <c r="I1031">
        <v>1.5450786571201629</v>
      </c>
    </row>
    <row r="1032" spans="1:9">
      <c r="A1032">
        <v>1</v>
      </c>
      <c r="B1032">
        <v>6</v>
      </c>
      <c r="C1032" t="s">
        <v>82</v>
      </c>
      <c r="D1032" t="s">
        <v>114</v>
      </c>
      <c r="E1032" t="s">
        <v>25</v>
      </c>
      <c r="F1032" t="s">
        <v>116</v>
      </c>
      <c r="G1032" t="s">
        <v>37</v>
      </c>
      <c r="H1032">
        <v>2028</v>
      </c>
      <c r="I1032">
        <v>1.4811853719499601</v>
      </c>
    </row>
    <row r="1033" spans="1:9">
      <c r="A1033">
        <v>1</v>
      </c>
      <c r="B1033">
        <v>6</v>
      </c>
      <c r="C1033" t="s">
        <v>82</v>
      </c>
      <c r="D1033" t="s">
        <v>114</v>
      </c>
      <c r="E1033" t="s">
        <v>25</v>
      </c>
      <c r="F1033" t="s">
        <v>116</v>
      </c>
      <c r="G1033" t="s">
        <v>37</v>
      </c>
      <c r="H1033">
        <v>2029</v>
      </c>
      <c r="I1033">
        <v>1.2644811242103817</v>
      </c>
    </row>
    <row r="1034" spans="1:9">
      <c r="A1034">
        <v>1</v>
      </c>
      <c r="B1034">
        <v>6</v>
      </c>
      <c r="C1034" t="s">
        <v>82</v>
      </c>
      <c r="D1034" t="s">
        <v>114</v>
      </c>
      <c r="E1034" t="s">
        <v>25</v>
      </c>
      <c r="F1034" t="s">
        <v>116</v>
      </c>
      <c r="G1034" t="s">
        <v>37</v>
      </c>
      <c r="H1034">
        <v>2030</v>
      </c>
      <c r="I1034">
        <v>1.7052815051561174</v>
      </c>
    </row>
    <row r="1035" spans="1:9">
      <c r="A1035">
        <v>1</v>
      </c>
      <c r="B1035">
        <v>6</v>
      </c>
      <c r="C1035" t="s">
        <v>82</v>
      </c>
      <c r="D1035" t="s">
        <v>114</v>
      </c>
      <c r="E1035" t="s">
        <v>25</v>
      </c>
      <c r="F1035" t="s">
        <v>116</v>
      </c>
      <c r="G1035" t="s">
        <v>37</v>
      </c>
      <c r="H1035">
        <v>2031</v>
      </c>
      <c r="I1035">
        <v>1.5185146179675861</v>
      </c>
    </row>
    <row r="1036" spans="1:9">
      <c r="A1036">
        <v>1</v>
      </c>
      <c r="B1036">
        <v>6</v>
      </c>
      <c r="C1036" t="s">
        <v>82</v>
      </c>
      <c r="D1036" t="s">
        <v>114</v>
      </c>
      <c r="E1036" t="s">
        <v>25</v>
      </c>
      <c r="F1036" t="s">
        <v>116</v>
      </c>
      <c r="G1036" t="s">
        <v>37</v>
      </c>
      <c r="H1036">
        <v>2032</v>
      </c>
      <c r="I1036">
        <v>1.0223786430065522</v>
      </c>
    </row>
    <row r="1037" spans="1:9">
      <c r="A1037">
        <v>1</v>
      </c>
      <c r="B1037">
        <v>6</v>
      </c>
      <c r="C1037" t="s">
        <v>82</v>
      </c>
      <c r="D1037" t="s">
        <v>114</v>
      </c>
      <c r="E1037" t="s">
        <v>25</v>
      </c>
      <c r="F1037" t="s">
        <v>116</v>
      </c>
      <c r="G1037" t="s">
        <v>38</v>
      </c>
      <c r="H1037">
        <v>2018</v>
      </c>
      <c r="I1037">
        <v>0.54542658237135511</v>
      </c>
    </row>
    <row r="1038" spans="1:9">
      <c r="A1038">
        <v>1</v>
      </c>
      <c r="B1038">
        <v>6</v>
      </c>
      <c r="C1038" t="s">
        <v>82</v>
      </c>
      <c r="D1038" t="s">
        <v>114</v>
      </c>
      <c r="E1038" t="s">
        <v>25</v>
      </c>
      <c r="F1038" t="s">
        <v>116</v>
      </c>
      <c r="G1038" t="s">
        <v>38</v>
      </c>
      <c r="H1038">
        <v>2019</v>
      </c>
      <c r="I1038">
        <v>0.42312246350330629</v>
      </c>
    </row>
    <row r="1039" spans="1:9">
      <c r="A1039">
        <v>1</v>
      </c>
      <c r="B1039">
        <v>6</v>
      </c>
      <c r="C1039" t="s">
        <v>82</v>
      </c>
      <c r="D1039" t="s">
        <v>114</v>
      </c>
      <c r="E1039" t="s">
        <v>25</v>
      </c>
      <c r="F1039" t="s">
        <v>116</v>
      </c>
      <c r="G1039" t="s">
        <v>38</v>
      </c>
      <c r="H1039">
        <v>2020</v>
      </c>
      <c r="I1039">
        <v>0.49950868972226381</v>
      </c>
    </row>
    <row r="1040" spans="1:9">
      <c r="A1040">
        <v>1</v>
      </c>
      <c r="B1040">
        <v>6</v>
      </c>
      <c r="C1040" t="s">
        <v>82</v>
      </c>
      <c r="D1040" t="s">
        <v>114</v>
      </c>
      <c r="E1040" t="s">
        <v>25</v>
      </c>
      <c r="F1040" t="s">
        <v>116</v>
      </c>
      <c r="G1040" t="s">
        <v>38</v>
      </c>
      <c r="H1040">
        <v>2021</v>
      </c>
      <c r="I1040">
        <v>0.51363968480404187</v>
      </c>
    </row>
    <row r="1041" spans="1:9">
      <c r="A1041">
        <v>1</v>
      </c>
      <c r="B1041">
        <v>6</v>
      </c>
      <c r="C1041" t="s">
        <v>82</v>
      </c>
      <c r="D1041" t="s">
        <v>114</v>
      </c>
      <c r="E1041" t="s">
        <v>25</v>
      </c>
      <c r="F1041" t="s">
        <v>116</v>
      </c>
      <c r="G1041" t="s">
        <v>38</v>
      </c>
      <c r="H1041">
        <v>2022</v>
      </c>
      <c r="I1041">
        <v>0.36175364296530715</v>
      </c>
    </row>
    <row r="1042" spans="1:9">
      <c r="A1042">
        <v>1</v>
      </c>
      <c r="B1042">
        <v>6</v>
      </c>
      <c r="C1042" t="s">
        <v>82</v>
      </c>
      <c r="D1042" t="s">
        <v>114</v>
      </c>
      <c r="E1042" t="s">
        <v>25</v>
      </c>
      <c r="F1042" t="s">
        <v>116</v>
      </c>
      <c r="G1042" t="s">
        <v>38</v>
      </c>
      <c r="H1042">
        <v>2023</v>
      </c>
      <c r="I1042">
        <v>0.5040142623808046</v>
      </c>
    </row>
    <row r="1043" spans="1:9">
      <c r="A1043">
        <v>1</v>
      </c>
      <c r="B1043">
        <v>6</v>
      </c>
      <c r="C1043" t="s">
        <v>82</v>
      </c>
      <c r="D1043" t="s">
        <v>114</v>
      </c>
      <c r="E1043" t="s">
        <v>25</v>
      </c>
      <c r="F1043" t="s">
        <v>116</v>
      </c>
      <c r="G1043" t="s">
        <v>38</v>
      </c>
      <c r="H1043">
        <v>2024</v>
      </c>
      <c r="I1043">
        <v>0.70222940476942797</v>
      </c>
    </row>
    <row r="1044" spans="1:9">
      <c r="A1044">
        <v>1</v>
      </c>
      <c r="B1044">
        <v>6</v>
      </c>
      <c r="C1044" t="s">
        <v>82</v>
      </c>
      <c r="D1044" t="s">
        <v>114</v>
      </c>
      <c r="E1044" t="s">
        <v>25</v>
      </c>
      <c r="F1044" t="s">
        <v>116</v>
      </c>
      <c r="G1044" t="s">
        <v>38</v>
      </c>
      <c r="H1044">
        <v>2025</v>
      </c>
      <c r="I1044">
        <v>0.653162848289773</v>
      </c>
    </row>
    <row r="1045" spans="1:9">
      <c r="A1045">
        <v>1</v>
      </c>
      <c r="B1045">
        <v>6</v>
      </c>
      <c r="C1045" t="s">
        <v>82</v>
      </c>
      <c r="D1045" t="s">
        <v>114</v>
      </c>
      <c r="E1045" t="s">
        <v>25</v>
      </c>
      <c r="F1045" t="s">
        <v>116</v>
      </c>
      <c r="G1045" t="s">
        <v>38</v>
      </c>
      <c r="H1045">
        <v>2026</v>
      </c>
      <c r="I1045">
        <v>0.54132779722453661</v>
      </c>
    </row>
    <row r="1046" spans="1:9">
      <c r="A1046">
        <v>1</v>
      </c>
      <c r="B1046">
        <v>6</v>
      </c>
      <c r="C1046" t="s">
        <v>82</v>
      </c>
      <c r="D1046" t="s">
        <v>114</v>
      </c>
      <c r="E1046" t="s">
        <v>25</v>
      </c>
      <c r="F1046" t="s">
        <v>116</v>
      </c>
      <c r="G1046" t="s">
        <v>38</v>
      </c>
      <c r="H1046">
        <v>2027</v>
      </c>
      <c r="I1046">
        <v>0.71912825969850092</v>
      </c>
    </row>
    <row r="1047" spans="1:9">
      <c r="A1047">
        <v>1</v>
      </c>
      <c r="B1047">
        <v>6</v>
      </c>
      <c r="C1047" t="s">
        <v>82</v>
      </c>
      <c r="D1047" t="s">
        <v>114</v>
      </c>
      <c r="E1047" t="s">
        <v>25</v>
      </c>
      <c r="F1047" t="s">
        <v>116</v>
      </c>
      <c r="G1047" t="s">
        <v>38</v>
      </c>
      <c r="H1047">
        <v>2028</v>
      </c>
      <c r="I1047">
        <v>0.83404791393082944</v>
      </c>
    </row>
    <row r="1048" spans="1:9">
      <c r="A1048">
        <v>1</v>
      </c>
      <c r="B1048">
        <v>6</v>
      </c>
      <c r="C1048" t="s">
        <v>82</v>
      </c>
      <c r="D1048" t="s">
        <v>114</v>
      </c>
      <c r="E1048" t="s">
        <v>25</v>
      </c>
      <c r="F1048" t="s">
        <v>116</v>
      </c>
      <c r="G1048" t="s">
        <v>38</v>
      </c>
      <c r="H1048">
        <v>2029</v>
      </c>
      <c r="I1048">
        <v>0.46912574167061361</v>
      </c>
    </row>
    <row r="1049" spans="1:9">
      <c r="A1049">
        <v>1</v>
      </c>
      <c r="B1049">
        <v>6</v>
      </c>
      <c r="C1049" t="s">
        <v>82</v>
      </c>
      <c r="D1049" t="s">
        <v>114</v>
      </c>
      <c r="E1049" t="s">
        <v>25</v>
      </c>
      <c r="F1049" t="s">
        <v>116</v>
      </c>
      <c r="G1049" t="s">
        <v>38</v>
      </c>
      <c r="H1049">
        <v>2030</v>
      </c>
      <c r="I1049">
        <v>0.50432567660145955</v>
      </c>
    </row>
    <row r="1050" spans="1:9">
      <c r="A1050">
        <v>1</v>
      </c>
      <c r="B1050">
        <v>6</v>
      </c>
      <c r="C1050" t="s">
        <v>82</v>
      </c>
      <c r="D1050" t="s">
        <v>114</v>
      </c>
      <c r="E1050" t="s">
        <v>25</v>
      </c>
      <c r="F1050" t="s">
        <v>116</v>
      </c>
      <c r="G1050" t="s">
        <v>38</v>
      </c>
      <c r="H1050">
        <v>2031</v>
      </c>
      <c r="I1050">
        <v>0.84566290295258584</v>
      </c>
    </row>
    <row r="1051" spans="1:9">
      <c r="A1051">
        <v>1</v>
      </c>
      <c r="B1051">
        <v>6</v>
      </c>
      <c r="C1051" t="s">
        <v>82</v>
      </c>
      <c r="D1051" t="s">
        <v>114</v>
      </c>
      <c r="E1051" t="s">
        <v>25</v>
      </c>
      <c r="F1051" t="s">
        <v>116</v>
      </c>
      <c r="G1051" t="s">
        <v>38</v>
      </c>
      <c r="H1051">
        <v>2032</v>
      </c>
      <c r="I1051">
        <v>0.93977521001300179</v>
      </c>
    </row>
    <row r="1052" spans="1:9">
      <c r="A1052">
        <v>1</v>
      </c>
      <c r="B1052">
        <v>6</v>
      </c>
      <c r="C1052" t="s">
        <v>82</v>
      </c>
      <c r="D1052" t="s">
        <v>114</v>
      </c>
      <c r="E1052" t="s">
        <v>25</v>
      </c>
      <c r="F1052" t="s">
        <v>117</v>
      </c>
      <c r="G1052" t="s">
        <v>37</v>
      </c>
      <c r="H1052">
        <v>2018</v>
      </c>
      <c r="I1052">
        <v>2.121879804187409</v>
      </c>
    </row>
    <row r="1053" spans="1:9">
      <c r="A1053">
        <v>1</v>
      </c>
      <c r="B1053">
        <v>6</v>
      </c>
      <c r="C1053" t="s">
        <v>82</v>
      </c>
      <c r="D1053" t="s">
        <v>114</v>
      </c>
      <c r="E1053" t="s">
        <v>25</v>
      </c>
      <c r="F1053" t="s">
        <v>117</v>
      </c>
      <c r="G1053" t="s">
        <v>37</v>
      </c>
      <c r="H1053">
        <v>2019</v>
      </c>
      <c r="I1053">
        <v>2.2308049492511817</v>
      </c>
    </row>
    <row r="1054" spans="1:9">
      <c r="A1054">
        <v>1</v>
      </c>
      <c r="B1054">
        <v>6</v>
      </c>
      <c r="C1054" t="s">
        <v>82</v>
      </c>
      <c r="D1054" t="s">
        <v>114</v>
      </c>
      <c r="E1054" t="s">
        <v>25</v>
      </c>
      <c r="F1054" t="s">
        <v>117</v>
      </c>
      <c r="G1054" t="s">
        <v>37</v>
      </c>
      <c r="H1054">
        <v>2020</v>
      </c>
      <c r="I1054">
        <v>1.725165169026599</v>
      </c>
    </row>
    <row r="1055" spans="1:9">
      <c r="A1055">
        <v>1</v>
      </c>
      <c r="B1055">
        <v>6</v>
      </c>
      <c r="C1055" t="s">
        <v>82</v>
      </c>
      <c r="D1055" t="s">
        <v>114</v>
      </c>
      <c r="E1055" t="s">
        <v>25</v>
      </c>
      <c r="F1055" t="s">
        <v>117</v>
      </c>
      <c r="G1055" t="s">
        <v>37</v>
      </c>
      <c r="H1055">
        <v>2021</v>
      </c>
      <c r="I1055">
        <v>2.2363606167660848</v>
      </c>
    </row>
    <row r="1056" spans="1:9">
      <c r="A1056">
        <v>1</v>
      </c>
      <c r="B1056">
        <v>6</v>
      </c>
      <c r="C1056" t="s">
        <v>82</v>
      </c>
      <c r="D1056" t="s">
        <v>114</v>
      </c>
      <c r="E1056" t="s">
        <v>25</v>
      </c>
      <c r="F1056" t="s">
        <v>117</v>
      </c>
      <c r="G1056" t="s">
        <v>37</v>
      </c>
      <c r="H1056">
        <v>2022</v>
      </c>
      <c r="I1056">
        <v>2.6001915094037766</v>
      </c>
    </row>
    <row r="1057" spans="1:9">
      <c r="A1057">
        <v>1</v>
      </c>
      <c r="B1057">
        <v>6</v>
      </c>
      <c r="C1057" t="s">
        <v>82</v>
      </c>
      <c r="D1057" t="s">
        <v>114</v>
      </c>
      <c r="E1057" t="s">
        <v>25</v>
      </c>
      <c r="F1057" t="s">
        <v>117</v>
      </c>
      <c r="G1057" t="s">
        <v>37</v>
      </c>
      <c r="H1057">
        <v>2023</v>
      </c>
      <c r="I1057">
        <v>2.3232403724840891</v>
      </c>
    </row>
    <row r="1058" spans="1:9">
      <c r="A1058">
        <v>1</v>
      </c>
      <c r="B1058">
        <v>6</v>
      </c>
      <c r="C1058" t="s">
        <v>82</v>
      </c>
      <c r="D1058" t="s">
        <v>114</v>
      </c>
      <c r="E1058" t="s">
        <v>25</v>
      </c>
      <c r="F1058" t="s">
        <v>117</v>
      </c>
      <c r="G1058" t="s">
        <v>37</v>
      </c>
      <c r="H1058">
        <v>2024</v>
      </c>
      <c r="I1058">
        <v>3.1605158227867713</v>
      </c>
    </row>
    <row r="1059" spans="1:9">
      <c r="A1059">
        <v>1</v>
      </c>
      <c r="B1059">
        <v>6</v>
      </c>
      <c r="C1059" t="s">
        <v>82</v>
      </c>
      <c r="D1059" t="s">
        <v>114</v>
      </c>
      <c r="E1059" t="s">
        <v>25</v>
      </c>
      <c r="F1059" t="s">
        <v>117</v>
      </c>
      <c r="G1059" t="s">
        <v>37</v>
      </c>
      <c r="H1059">
        <v>2025</v>
      </c>
      <c r="I1059">
        <v>3.0020473369160188</v>
      </c>
    </row>
    <row r="1060" spans="1:9">
      <c r="A1060">
        <v>1</v>
      </c>
      <c r="B1060">
        <v>6</v>
      </c>
      <c r="C1060" t="s">
        <v>82</v>
      </c>
      <c r="D1060" t="s">
        <v>114</v>
      </c>
      <c r="E1060" t="s">
        <v>25</v>
      </c>
      <c r="F1060" t="s">
        <v>117</v>
      </c>
      <c r="G1060" t="s">
        <v>37</v>
      </c>
      <c r="H1060">
        <v>2026</v>
      </c>
      <c r="I1060">
        <v>3.0698829284514018</v>
      </c>
    </row>
    <row r="1061" spans="1:9">
      <c r="A1061">
        <v>1</v>
      </c>
      <c r="B1061">
        <v>6</v>
      </c>
      <c r="C1061" t="s">
        <v>82</v>
      </c>
      <c r="D1061" t="s">
        <v>114</v>
      </c>
      <c r="E1061" t="s">
        <v>25</v>
      </c>
      <c r="F1061" t="s">
        <v>117</v>
      </c>
      <c r="G1061" t="s">
        <v>37</v>
      </c>
      <c r="H1061">
        <v>2027</v>
      </c>
      <c r="I1061">
        <v>2.761549285412451</v>
      </c>
    </row>
    <row r="1062" spans="1:9">
      <c r="A1062">
        <v>1</v>
      </c>
      <c r="B1062">
        <v>6</v>
      </c>
      <c r="C1062" t="s">
        <v>82</v>
      </c>
      <c r="D1062" t="s">
        <v>114</v>
      </c>
      <c r="E1062" t="s">
        <v>25</v>
      </c>
      <c r="F1062" t="s">
        <v>117</v>
      </c>
      <c r="G1062" t="s">
        <v>37</v>
      </c>
      <c r="H1062">
        <v>2028</v>
      </c>
      <c r="I1062">
        <v>2.0297309814699513</v>
      </c>
    </row>
    <row r="1063" spans="1:9">
      <c r="A1063">
        <v>1</v>
      </c>
      <c r="B1063">
        <v>6</v>
      </c>
      <c r="C1063" t="s">
        <v>82</v>
      </c>
      <c r="D1063" t="s">
        <v>114</v>
      </c>
      <c r="E1063" t="s">
        <v>25</v>
      </c>
      <c r="F1063" t="s">
        <v>117</v>
      </c>
      <c r="G1063" t="s">
        <v>37</v>
      </c>
      <c r="H1063">
        <v>2029</v>
      </c>
      <c r="I1063">
        <v>3.8871410671450271</v>
      </c>
    </row>
    <row r="1064" spans="1:9">
      <c r="A1064">
        <v>1</v>
      </c>
      <c r="B1064">
        <v>6</v>
      </c>
      <c r="C1064" t="s">
        <v>82</v>
      </c>
      <c r="D1064" t="s">
        <v>114</v>
      </c>
      <c r="E1064" t="s">
        <v>25</v>
      </c>
      <c r="F1064" t="s">
        <v>117</v>
      </c>
      <c r="G1064" t="s">
        <v>37</v>
      </c>
      <c r="H1064">
        <v>2030</v>
      </c>
      <c r="I1064">
        <v>3.038750722298472</v>
      </c>
    </row>
    <row r="1065" spans="1:9">
      <c r="A1065">
        <v>1</v>
      </c>
      <c r="B1065">
        <v>6</v>
      </c>
      <c r="C1065" t="s">
        <v>82</v>
      </c>
      <c r="D1065" t="s">
        <v>114</v>
      </c>
      <c r="E1065" t="s">
        <v>25</v>
      </c>
      <c r="F1065" t="s">
        <v>117</v>
      </c>
      <c r="G1065" t="s">
        <v>37</v>
      </c>
      <c r="H1065">
        <v>2031</v>
      </c>
      <c r="I1065">
        <v>2.5637842259209176</v>
      </c>
    </row>
    <row r="1066" spans="1:9">
      <c r="A1066">
        <v>1</v>
      </c>
      <c r="B1066">
        <v>6</v>
      </c>
      <c r="C1066" t="s">
        <v>82</v>
      </c>
      <c r="D1066" t="s">
        <v>114</v>
      </c>
      <c r="E1066" t="s">
        <v>25</v>
      </c>
      <c r="F1066" t="s">
        <v>117</v>
      </c>
      <c r="G1066" t="s">
        <v>37</v>
      </c>
      <c r="H1066">
        <v>2032</v>
      </c>
      <c r="I1066">
        <v>2.6964469197014016</v>
      </c>
    </row>
    <row r="1067" spans="1:9">
      <c r="A1067">
        <v>1</v>
      </c>
      <c r="B1067">
        <v>6</v>
      </c>
      <c r="C1067" t="s">
        <v>82</v>
      </c>
      <c r="D1067" t="s">
        <v>114</v>
      </c>
      <c r="E1067" t="s">
        <v>25</v>
      </c>
      <c r="F1067" t="s">
        <v>117</v>
      </c>
      <c r="G1067" t="s">
        <v>38</v>
      </c>
      <c r="H1067">
        <v>2018</v>
      </c>
      <c r="I1067">
        <v>0.84236822500846653</v>
      </c>
    </row>
    <row r="1068" spans="1:9">
      <c r="A1068">
        <v>1</v>
      </c>
      <c r="B1068">
        <v>6</v>
      </c>
      <c r="C1068" t="s">
        <v>82</v>
      </c>
      <c r="D1068" t="s">
        <v>114</v>
      </c>
      <c r="E1068" t="s">
        <v>25</v>
      </c>
      <c r="F1068" t="s">
        <v>117</v>
      </c>
      <c r="G1068" t="s">
        <v>38</v>
      </c>
      <c r="H1068">
        <v>2019</v>
      </c>
      <c r="I1068">
        <v>0.98210749679734599</v>
      </c>
    </row>
    <row r="1069" spans="1:9">
      <c r="A1069">
        <v>1</v>
      </c>
      <c r="B1069">
        <v>6</v>
      </c>
      <c r="C1069" t="s">
        <v>82</v>
      </c>
      <c r="D1069" t="s">
        <v>114</v>
      </c>
      <c r="E1069" t="s">
        <v>25</v>
      </c>
      <c r="F1069" t="s">
        <v>117</v>
      </c>
      <c r="G1069" t="s">
        <v>38</v>
      </c>
      <c r="H1069">
        <v>2020</v>
      </c>
      <c r="I1069">
        <v>0.78342973395324278</v>
      </c>
    </row>
    <row r="1070" spans="1:9">
      <c r="A1070">
        <v>1</v>
      </c>
      <c r="B1070">
        <v>6</v>
      </c>
      <c r="C1070" t="s">
        <v>82</v>
      </c>
      <c r="D1070" t="s">
        <v>114</v>
      </c>
      <c r="E1070" t="s">
        <v>25</v>
      </c>
      <c r="F1070" t="s">
        <v>117</v>
      </c>
      <c r="G1070" t="s">
        <v>38</v>
      </c>
      <c r="H1070">
        <v>2021</v>
      </c>
      <c r="I1070">
        <v>1.0927378994523889</v>
      </c>
    </row>
    <row r="1071" spans="1:9">
      <c r="A1071">
        <v>1</v>
      </c>
      <c r="B1071">
        <v>6</v>
      </c>
      <c r="C1071" t="s">
        <v>82</v>
      </c>
      <c r="D1071" t="s">
        <v>114</v>
      </c>
      <c r="E1071" t="s">
        <v>25</v>
      </c>
      <c r="F1071" t="s">
        <v>117</v>
      </c>
      <c r="G1071" t="s">
        <v>38</v>
      </c>
      <c r="H1071">
        <v>2022</v>
      </c>
      <c r="I1071">
        <v>1.2465183581525925</v>
      </c>
    </row>
    <row r="1072" spans="1:9">
      <c r="A1072">
        <v>1</v>
      </c>
      <c r="B1072">
        <v>6</v>
      </c>
      <c r="C1072" t="s">
        <v>82</v>
      </c>
      <c r="D1072" t="s">
        <v>114</v>
      </c>
      <c r="E1072" t="s">
        <v>25</v>
      </c>
      <c r="F1072" t="s">
        <v>117</v>
      </c>
      <c r="G1072" t="s">
        <v>38</v>
      </c>
      <c r="H1072">
        <v>2023</v>
      </c>
      <c r="I1072">
        <v>1.0464842423751848</v>
      </c>
    </row>
    <row r="1073" spans="1:9">
      <c r="A1073">
        <v>1</v>
      </c>
      <c r="B1073">
        <v>6</v>
      </c>
      <c r="C1073" t="s">
        <v>82</v>
      </c>
      <c r="D1073" t="s">
        <v>114</v>
      </c>
      <c r="E1073" t="s">
        <v>25</v>
      </c>
      <c r="F1073" t="s">
        <v>117</v>
      </c>
      <c r="G1073" t="s">
        <v>38</v>
      </c>
      <c r="H1073">
        <v>2024</v>
      </c>
      <c r="I1073">
        <v>1.4646656136856255</v>
      </c>
    </row>
    <row r="1074" spans="1:9">
      <c r="A1074">
        <v>1</v>
      </c>
      <c r="B1074">
        <v>6</v>
      </c>
      <c r="C1074" t="s">
        <v>82</v>
      </c>
      <c r="D1074" t="s">
        <v>114</v>
      </c>
      <c r="E1074" t="s">
        <v>25</v>
      </c>
      <c r="F1074" t="s">
        <v>117</v>
      </c>
      <c r="G1074" t="s">
        <v>38</v>
      </c>
      <c r="H1074">
        <v>2025</v>
      </c>
      <c r="I1074">
        <v>1.5608078675980279</v>
      </c>
    </row>
    <row r="1075" spans="1:9">
      <c r="A1075">
        <v>1</v>
      </c>
      <c r="B1075">
        <v>6</v>
      </c>
      <c r="C1075" t="s">
        <v>82</v>
      </c>
      <c r="D1075" t="s">
        <v>114</v>
      </c>
      <c r="E1075" t="s">
        <v>25</v>
      </c>
      <c r="F1075" t="s">
        <v>117</v>
      </c>
      <c r="G1075" t="s">
        <v>38</v>
      </c>
      <c r="H1075">
        <v>2026</v>
      </c>
      <c r="I1075">
        <v>1.1744209181642953</v>
      </c>
    </row>
    <row r="1076" spans="1:9">
      <c r="A1076">
        <v>1</v>
      </c>
      <c r="B1076">
        <v>6</v>
      </c>
      <c r="C1076" t="s">
        <v>82</v>
      </c>
      <c r="D1076" t="s">
        <v>114</v>
      </c>
      <c r="E1076" t="s">
        <v>25</v>
      </c>
      <c r="F1076" t="s">
        <v>117</v>
      </c>
      <c r="G1076" t="s">
        <v>38</v>
      </c>
      <c r="H1076">
        <v>2027</v>
      </c>
      <c r="I1076">
        <v>0.90175773981358887</v>
      </c>
    </row>
    <row r="1077" spans="1:9">
      <c r="A1077">
        <v>1</v>
      </c>
      <c r="B1077">
        <v>6</v>
      </c>
      <c r="C1077" t="s">
        <v>82</v>
      </c>
      <c r="D1077" t="s">
        <v>114</v>
      </c>
      <c r="E1077" t="s">
        <v>25</v>
      </c>
      <c r="F1077" t="s">
        <v>117</v>
      </c>
      <c r="G1077" t="s">
        <v>38</v>
      </c>
      <c r="H1077">
        <v>2028</v>
      </c>
      <c r="I1077">
        <v>1.6437744418397184</v>
      </c>
    </row>
    <row r="1078" spans="1:9">
      <c r="A1078">
        <v>1</v>
      </c>
      <c r="B1078">
        <v>6</v>
      </c>
      <c r="C1078" t="s">
        <v>82</v>
      </c>
      <c r="D1078" t="s">
        <v>114</v>
      </c>
      <c r="E1078" t="s">
        <v>25</v>
      </c>
      <c r="F1078" t="s">
        <v>117</v>
      </c>
      <c r="G1078" t="s">
        <v>38</v>
      </c>
      <c r="H1078">
        <v>2029</v>
      </c>
      <c r="I1078">
        <v>1.782482206117102</v>
      </c>
    </row>
    <row r="1079" spans="1:9">
      <c r="A1079">
        <v>1</v>
      </c>
      <c r="B1079">
        <v>6</v>
      </c>
      <c r="C1079" t="s">
        <v>82</v>
      </c>
      <c r="D1079" t="s">
        <v>114</v>
      </c>
      <c r="E1079" t="s">
        <v>25</v>
      </c>
      <c r="F1079" t="s">
        <v>117</v>
      </c>
      <c r="G1079" t="s">
        <v>38</v>
      </c>
      <c r="H1079">
        <v>2030</v>
      </c>
      <c r="I1079">
        <v>1.0976388313906376</v>
      </c>
    </row>
    <row r="1080" spans="1:9">
      <c r="A1080">
        <v>1</v>
      </c>
      <c r="B1080">
        <v>6</v>
      </c>
      <c r="C1080" t="s">
        <v>82</v>
      </c>
      <c r="D1080" t="s">
        <v>114</v>
      </c>
      <c r="E1080" t="s">
        <v>25</v>
      </c>
      <c r="F1080" t="s">
        <v>117</v>
      </c>
      <c r="G1080" t="s">
        <v>38</v>
      </c>
      <c r="H1080">
        <v>2031</v>
      </c>
      <c r="I1080">
        <v>1.7545804950830486</v>
      </c>
    </row>
    <row r="1081" spans="1:9">
      <c r="A1081">
        <v>1</v>
      </c>
      <c r="B1081">
        <v>6</v>
      </c>
      <c r="C1081" t="s">
        <v>82</v>
      </c>
      <c r="D1081" t="s">
        <v>114</v>
      </c>
      <c r="E1081" t="s">
        <v>25</v>
      </c>
      <c r="F1081" t="s">
        <v>117</v>
      </c>
      <c r="G1081" t="s">
        <v>38</v>
      </c>
      <c r="H1081">
        <v>2032</v>
      </c>
      <c r="I1081">
        <v>1.5886970762951957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1"/>
  <sheetViews>
    <sheetView workbookViewId="0">
      <pane ySplit="1" topLeftCell="A2" activePane="bottomLeft" state="frozen"/>
      <selection pane="bottomLeft" activeCell="J31" sqref="J31"/>
    </sheetView>
  </sheetViews>
  <sheetFormatPr baseColWidth="10" defaultRowHeight="15" x14ac:dyDescent="0"/>
  <cols>
    <col min="2" max="2" width="11.33203125" bestFit="1" customWidth="1"/>
  </cols>
  <sheetData>
    <row r="1" spans="1:7">
      <c r="A1" t="s">
        <v>0</v>
      </c>
      <c r="B1" t="s">
        <v>2</v>
      </c>
      <c r="C1" t="s">
        <v>3</v>
      </c>
      <c r="D1" t="s">
        <v>5</v>
      </c>
      <c r="E1" t="s">
        <v>4</v>
      </c>
      <c r="F1" t="s">
        <v>39</v>
      </c>
      <c r="G1" t="s">
        <v>40</v>
      </c>
    </row>
    <row r="2" spans="1:7">
      <c r="A2">
        <v>1</v>
      </c>
      <c r="B2">
        <v>1</v>
      </c>
      <c r="C2">
        <v>1</v>
      </c>
      <c r="D2">
        <v>2018</v>
      </c>
      <c r="E2">
        <v>1.2</v>
      </c>
      <c r="F2">
        <v>1</v>
      </c>
      <c r="G2" t="s">
        <v>41</v>
      </c>
    </row>
    <row r="3" spans="1:7">
      <c r="A3">
        <v>1</v>
      </c>
      <c r="B3">
        <v>1</v>
      </c>
      <c r="C3">
        <v>1</v>
      </c>
      <c r="D3">
        <v>2019</v>
      </c>
      <c r="E3">
        <v>1.2</v>
      </c>
    </row>
    <row r="4" spans="1:7">
      <c r="A4">
        <v>1</v>
      </c>
      <c r="B4">
        <v>1</v>
      </c>
      <c r="C4">
        <v>1</v>
      </c>
      <c r="D4">
        <v>2020</v>
      </c>
      <c r="E4">
        <v>1.3</v>
      </c>
    </row>
    <row r="5" spans="1:7">
      <c r="A5">
        <v>1</v>
      </c>
      <c r="B5">
        <v>1</v>
      </c>
      <c r="C5">
        <v>1</v>
      </c>
      <c r="D5">
        <v>2021</v>
      </c>
      <c r="E5">
        <v>1.5</v>
      </c>
    </row>
    <row r="6" spans="1:7">
      <c r="A6">
        <v>1</v>
      </c>
      <c r="B6">
        <v>1</v>
      </c>
      <c r="C6">
        <v>1</v>
      </c>
      <c r="D6">
        <v>2022</v>
      </c>
      <c r="E6">
        <v>1.5</v>
      </c>
    </row>
    <row r="7" spans="1:7">
      <c r="A7">
        <v>1</v>
      </c>
      <c r="B7">
        <v>1</v>
      </c>
      <c r="C7">
        <v>1</v>
      </c>
      <c r="D7">
        <v>2023</v>
      </c>
      <c r="E7">
        <v>1.5</v>
      </c>
    </row>
    <row r="8" spans="1:7">
      <c r="A8">
        <v>1</v>
      </c>
      <c r="B8">
        <v>1</v>
      </c>
      <c r="C8">
        <v>1</v>
      </c>
      <c r="D8">
        <v>2024</v>
      </c>
      <c r="E8">
        <v>1.7</v>
      </c>
    </row>
    <row r="9" spans="1:7">
      <c r="A9">
        <v>1</v>
      </c>
      <c r="B9">
        <v>1</v>
      </c>
      <c r="C9">
        <v>1</v>
      </c>
      <c r="D9">
        <v>2025</v>
      </c>
      <c r="E9">
        <v>1.7</v>
      </c>
    </row>
    <row r="10" spans="1:7">
      <c r="A10">
        <v>1</v>
      </c>
      <c r="B10">
        <v>1</v>
      </c>
      <c r="C10">
        <v>1</v>
      </c>
      <c r="D10">
        <v>2026</v>
      </c>
      <c r="E10">
        <v>1.7</v>
      </c>
    </row>
    <row r="11" spans="1:7">
      <c r="A11">
        <v>1</v>
      </c>
      <c r="B11">
        <v>1</v>
      </c>
      <c r="C11">
        <v>1</v>
      </c>
      <c r="D11">
        <v>2027</v>
      </c>
      <c r="E11">
        <v>1.7</v>
      </c>
    </row>
    <row r="12" spans="1:7">
      <c r="A12">
        <v>1</v>
      </c>
      <c r="B12">
        <v>1</v>
      </c>
      <c r="C12">
        <v>1</v>
      </c>
      <c r="D12">
        <v>2028</v>
      </c>
      <c r="E12">
        <v>2</v>
      </c>
    </row>
    <row r="13" spans="1:7">
      <c r="A13">
        <v>1</v>
      </c>
      <c r="B13">
        <v>1</v>
      </c>
      <c r="C13">
        <v>1</v>
      </c>
      <c r="D13">
        <v>2029</v>
      </c>
      <c r="E13">
        <v>2</v>
      </c>
    </row>
    <row r="14" spans="1:7">
      <c r="A14">
        <v>1</v>
      </c>
      <c r="B14">
        <v>1</v>
      </c>
      <c r="C14">
        <v>1</v>
      </c>
      <c r="D14">
        <v>2030</v>
      </c>
      <c r="E14">
        <v>2</v>
      </c>
    </row>
    <row r="15" spans="1:7">
      <c r="A15">
        <v>1</v>
      </c>
      <c r="B15">
        <v>1</v>
      </c>
      <c r="C15">
        <v>1</v>
      </c>
      <c r="D15">
        <v>2031</v>
      </c>
      <c r="E15">
        <v>2</v>
      </c>
    </row>
    <row r="16" spans="1:7">
      <c r="A16">
        <v>1</v>
      </c>
      <c r="B16">
        <v>1</v>
      </c>
      <c r="C16">
        <v>1</v>
      </c>
      <c r="D16">
        <v>2032</v>
      </c>
      <c r="E16">
        <v>2.2000000000000002</v>
      </c>
    </row>
    <row r="17" spans="1:7">
      <c r="A17">
        <v>1</v>
      </c>
      <c r="B17">
        <v>1</v>
      </c>
      <c r="C17">
        <v>2</v>
      </c>
      <c r="D17">
        <v>2018</v>
      </c>
      <c r="E17">
        <f>E2*0.5</f>
        <v>0.6</v>
      </c>
    </row>
    <row r="18" spans="1:7">
      <c r="A18">
        <v>1</v>
      </c>
      <c r="B18">
        <v>1</v>
      </c>
      <c r="C18">
        <v>2</v>
      </c>
      <c r="D18">
        <v>2019</v>
      </c>
      <c r="E18">
        <f t="shared" ref="E18:E31" si="0">E3*0.5</f>
        <v>0.6</v>
      </c>
    </row>
    <row r="19" spans="1:7">
      <c r="A19">
        <v>1</v>
      </c>
      <c r="B19">
        <v>1</v>
      </c>
      <c r="C19">
        <v>2</v>
      </c>
      <c r="D19">
        <v>2020</v>
      </c>
      <c r="E19">
        <f t="shared" si="0"/>
        <v>0.65</v>
      </c>
    </row>
    <row r="20" spans="1:7">
      <c r="A20">
        <v>1</v>
      </c>
      <c r="B20">
        <v>1</v>
      </c>
      <c r="C20">
        <v>2</v>
      </c>
      <c r="D20">
        <v>2021</v>
      </c>
      <c r="E20">
        <f t="shared" si="0"/>
        <v>0.75</v>
      </c>
    </row>
    <row r="21" spans="1:7">
      <c r="A21">
        <v>1</v>
      </c>
      <c r="B21">
        <v>1</v>
      </c>
      <c r="C21">
        <v>2</v>
      </c>
      <c r="D21">
        <v>2022</v>
      </c>
      <c r="E21">
        <f t="shared" si="0"/>
        <v>0.75</v>
      </c>
    </row>
    <row r="22" spans="1:7">
      <c r="A22">
        <v>1</v>
      </c>
      <c r="B22">
        <v>1</v>
      </c>
      <c r="C22">
        <v>2</v>
      </c>
      <c r="D22">
        <v>2023</v>
      </c>
      <c r="E22">
        <f t="shared" si="0"/>
        <v>0.75</v>
      </c>
    </row>
    <row r="23" spans="1:7">
      <c r="A23">
        <v>1</v>
      </c>
      <c r="B23">
        <v>1</v>
      </c>
      <c r="C23">
        <v>2</v>
      </c>
      <c r="D23">
        <v>2024</v>
      </c>
      <c r="E23">
        <f t="shared" si="0"/>
        <v>0.85</v>
      </c>
    </row>
    <row r="24" spans="1:7">
      <c r="A24">
        <v>1</v>
      </c>
      <c r="B24">
        <v>1</v>
      </c>
      <c r="C24">
        <v>2</v>
      </c>
      <c r="D24">
        <v>2025</v>
      </c>
      <c r="E24">
        <f t="shared" si="0"/>
        <v>0.85</v>
      </c>
    </row>
    <row r="25" spans="1:7">
      <c r="A25">
        <v>1</v>
      </c>
      <c r="B25">
        <v>1</v>
      </c>
      <c r="C25">
        <v>2</v>
      </c>
      <c r="D25">
        <v>2026</v>
      </c>
      <c r="E25">
        <f t="shared" si="0"/>
        <v>0.85</v>
      </c>
    </row>
    <row r="26" spans="1:7">
      <c r="A26">
        <v>1</v>
      </c>
      <c r="B26">
        <v>1</v>
      </c>
      <c r="C26">
        <v>2</v>
      </c>
      <c r="D26">
        <v>2027</v>
      </c>
      <c r="E26">
        <f t="shared" si="0"/>
        <v>0.85</v>
      </c>
    </row>
    <row r="27" spans="1:7">
      <c r="A27">
        <v>1</v>
      </c>
      <c r="B27">
        <v>1</v>
      </c>
      <c r="C27">
        <v>2</v>
      </c>
      <c r="D27">
        <v>2028</v>
      </c>
      <c r="E27">
        <f t="shared" si="0"/>
        <v>1</v>
      </c>
    </row>
    <row r="28" spans="1:7">
      <c r="A28">
        <v>1</v>
      </c>
      <c r="B28">
        <v>1</v>
      </c>
      <c r="C28">
        <v>2</v>
      </c>
      <c r="D28">
        <v>2029</v>
      </c>
      <c r="E28">
        <f t="shared" si="0"/>
        <v>1</v>
      </c>
    </row>
    <row r="29" spans="1:7">
      <c r="A29">
        <v>1</v>
      </c>
      <c r="B29">
        <v>1</v>
      </c>
      <c r="C29">
        <v>2</v>
      </c>
      <c r="D29">
        <v>2030</v>
      </c>
      <c r="E29">
        <f t="shared" si="0"/>
        <v>1</v>
      </c>
    </row>
    <row r="30" spans="1:7">
      <c r="A30">
        <v>1</v>
      </c>
      <c r="B30">
        <v>1</v>
      </c>
      <c r="C30">
        <v>2</v>
      </c>
      <c r="D30">
        <v>2031</v>
      </c>
      <c r="E30">
        <f t="shared" si="0"/>
        <v>1</v>
      </c>
    </row>
    <row r="31" spans="1:7">
      <c r="A31">
        <v>1</v>
      </c>
      <c r="B31">
        <v>1</v>
      </c>
      <c r="C31">
        <v>2</v>
      </c>
      <c r="D31">
        <v>2032</v>
      </c>
      <c r="E31">
        <f t="shared" si="0"/>
        <v>1.1000000000000001</v>
      </c>
    </row>
    <row r="32" spans="1:7">
      <c r="A32">
        <v>1</v>
      </c>
      <c r="B32">
        <v>2</v>
      </c>
      <c r="C32">
        <v>1</v>
      </c>
      <c r="D32">
        <v>2018</v>
      </c>
      <c r="E32">
        <f>E2*$F$32</f>
        <v>0.48</v>
      </c>
      <c r="F32">
        <v>0.4</v>
      </c>
      <c r="G32" t="s">
        <v>42</v>
      </c>
    </row>
    <row r="33" spans="1:5">
      <c r="A33">
        <v>1</v>
      </c>
      <c r="B33">
        <v>2</v>
      </c>
      <c r="C33">
        <v>1</v>
      </c>
      <c r="D33">
        <v>2019</v>
      </c>
      <c r="E33">
        <f t="shared" ref="E33:E61" si="1">E3*$F$32</f>
        <v>0.48</v>
      </c>
    </row>
    <row r="34" spans="1:5">
      <c r="A34">
        <v>1</v>
      </c>
      <c r="B34">
        <v>2</v>
      </c>
      <c r="C34">
        <v>1</v>
      </c>
      <c r="D34">
        <v>2020</v>
      </c>
      <c r="E34">
        <f t="shared" si="1"/>
        <v>0.52</v>
      </c>
    </row>
    <row r="35" spans="1:5">
      <c r="A35">
        <v>1</v>
      </c>
      <c r="B35">
        <v>2</v>
      </c>
      <c r="C35">
        <v>1</v>
      </c>
      <c r="D35">
        <v>2021</v>
      </c>
      <c r="E35">
        <f t="shared" si="1"/>
        <v>0.60000000000000009</v>
      </c>
    </row>
    <row r="36" spans="1:5">
      <c r="A36">
        <v>1</v>
      </c>
      <c r="B36">
        <v>2</v>
      </c>
      <c r="C36">
        <v>1</v>
      </c>
      <c r="D36">
        <v>2022</v>
      </c>
      <c r="E36">
        <f t="shared" si="1"/>
        <v>0.60000000000000009</v>
      </c>
    </row>
    <row r="37" spans="1:5">
      <c r="A37">
        <v>1</v>
      </c>
      <c r="B37">
        <v>2</v>
      </c>
      <c r="C37">
        <v>1</v>
      </c>
      <c r="D37">
        <v>2023</v>
      </c>
      <c r="E37">
        <f t="shared" si="1"/>
        <v>0.60000000000000009</v>
      </c>
    </row>
    <row r="38" spans="1:5">
      <c r="A38">
        <v>1</v>
      </c>
      <c r="B38">
        <v>2</v>
      </c>
      <c r="C38">
        <v>1</v>
      </c>
      <c r="D38">
        <v>2024</v>
      </c>
      <c r="E38">
        <f t="shared" si="1"/>
        <v>0.68</v>
      </c>
    </row>
    <row r="39" spans="1:5">
      <c r="A39">
        <v>1</v>
      </c>
      <c r="B39">
        <v>2</v>
      </c>
      <c r="C39">
        <v>1</v>
      </c>
      <c r="D39">
        <v>2025</v>
      </c>
      <c r="E39">
        <f t="shared" si="1"/>
        <v>0.68</v>
      </c>
    </row>
    <row r="40" spans="1:5">
      <c r="A40">
        <v>1</v>
      </c>
      <c r="B40">
        <v>2</v>
      </c>
      <c r="C40">
        <v>1</v>
      </c>
      <c r="D40">
        <v>2026</v>
      </c>
      <c r="E40">
        <f t="shared" si="1"/>
        <v>0.68</v>
      </c>
    </row>
    <row r="41" spans="1:5">
      <c r="A41">
        <v>1</v>
      </c>
      <c r="B41">
        <v>2</v>
      </c>
      <c r="C41">
        <v>1</v>
      </c>
      <c r="D41">
        <v>2027</v>
      </c>
      <c r="E41">
        <f t="shared" si="1"/>
        <v>0.68</v>
      </c>
    </row>
    <row r="42" spans="1:5">
      <c r="A42">
        <v>1</v>
      </c>
      <c r="B42">
        <v>2</v>
      </c>
      <c r="C42">
        <v>1</v>
      </c>
      <c r="D42">
        <v>2028</v>
      </c>
      <c r="E42">
        <f t="shared" si="1"/>
        <v>0.8</v>
      </c>
    </row>
    <row r="43" spans="1:5">
      <c r="A43">
        <v>1</v>
      </c>
      <c r="B43">
        <v>2</v>
      </c>
      <c r="C43">
        <v>1</v>
      </c>
      <c r="D43">
        <v>2029</v>
      </c>
      <c r="E43">
        <f t="shared" si="1"/>
        <v>0.8</v>
      </c>
    </row>
    <row r="44" spans="1:5">
      <c r="A44">
        <v>1</v>
      </c>
      <c r="B44">
        <v>2</v>
      </c>
      <c r="C44">
        <v>1</v>
      </c>
      <c r="D44">
        <v>2030</v>
      </c>
      <c r="E44">
        <f t="shared" si="1"/>
        <v>0.8</v>
      </c>
    </row>
    <row r="45" spans="1:5">
      <c r="A45">
        <v>1</v>
      </c>
      <c r="B45">
        <v>2</v>
      </c>
      <c r="C45">
        <v>1</v>
      </c>
      <c r="D45">
        <v>2031</v>
      </c>
      <c r="E45">
        <f t="shared" si="1"/>
        <v>0.8</v>
      </c>
    </row>
    <row r="46" spans="1:5">
      <c r="A46">
        <v>1</v>
      </c>
      <c r="B46">
        <v>2</v>
      </c>
      <c r="C46">
        <v>1</v>
      </c>
      <c r="D46">
        <v>2032</v>
      </c>
      <c r="E46">
        <f t="shared" si="1"/>
        <v>0.88000000000000012</v>
      </c>
    </row>
    <row r="47" spans="1:5">
      <c r="A47">
        <v>1</v>
      </c>
      <c r="B47">
        <v>2</v>
      </c>
      <c r="C47">
        <v>2</v>
      </c>
      <c r="D47">
        <v>2018</v>
      </c>
      <c r="E47">
        <f t="shared" si="1"/>
        <v>0.24</v>
      </c>
    </row>
    <row r="48" spans="1:5">
      <c r="A48">
        <v>1</v>
      </c>
      <c r="B48">
        <v>2</v>
      </c>
      <c r="C48">
        <v>2</v>
      </c>
      <c r="D48">
        <v>2019</v>
      </c>
      <c r="E48">
        <f t="shared" si="1"/>
        <v>0.24</v>
      </c>
    </row>
    <row r="49" spans="1:7">
      <c r="A49">
        <v>1</v>
      </c>
      <c r="B49">
        <v>2</v>
      </c>
      <c r="C49">
        <v>2</v>
      </c>
      <c r="D49">
        <v>2020</v>
      </c>
      <c r="E49">
        <f t="shared" si="1"/>
        <v>0.26</v>
      </c>
    </row>
    <row r="50" spans="1:7">
      <c r="A50">
        <v>1</v>
      </c>
      <c r="B50">
        <v>2</v>
      </c>
      <c r="C50">
        <v>2</v>
      </c>
      <c r="D50">
        <v>2021</v>
      </c>
      <c r="E50">
        <f t="shared" si="1"/>
        <v>0.30000000000000004</v>
      </c>
    </row>
    <row r="51" spans="1:7">
      <c r="A51">
        <v>1</v>
      </c>
      <c r="B51">
        <v>2</v>
      </c>
      <c r="C51">
        <v>2</v>
      </c>
      <c r="D51">
        <v>2022</v>
      </c>
      <c r="E51">
        <f t="shared" si="1"/>
        <v>0.30000000000000004</v>
      </c>
    </row>
    <row r="52" spans="1:7">
      <c r="A52">
        <v>1</v>
      </c>
      <c r="B52">
        <v>2</v>
      </c>
      <c r="C52">
        <v>2</v>
      </c>
      <c r="D52">
        <v>2023</v>
      </c>
      <c r="E52">
        <f t="shared" si="1"/>
        <v>0.30000000000000004</v>
      </c>
    </row>
    <row r="53" spans="1:7">
      <c r="A53">
        <v>1</v>
      </c>
      <c r="B53">
        <v>2</v>
      </c>
      <c r="C53">
        <v>2</v>
      </c>
      <c r="D53">
        <v>2024</v>
      </c>
      <c r="E53">
        <f t="shared" si="1"/>
        <v>0.34</v>
      </c>
    </row>
    <row r="54" spans="1:7">
      <c r="A54">
        <v>1</v>
      </c>
      <c r="B54">
        <v>2</v>
      </c>
      <c r="C54">
        <v>2</v>
      </c>
      <c r="D54">
        <v>2025</v>
      </c>
      <c r="E54">
        <f t="shared" si="1"/>
        <v>0.34</v>
      </c>
    </row>
    <row r="55" spans="1:7">
      <c r="A55">
        <v>1</v>
      </c>
      <c r="B55">
        <v>2</v>
      </c>
      <c r="C55">
        <v>2</v>
      </c>
      <c r="D55">
        <v>2026</v>
      </c>
      <c r="E55">
        <f t="shared" si="1"/>
        <v>0.34</v>
      </c>
    </row>
    <row r="56" spans="1:7">
      <c r="A56">
        <v>1</v>
      </c>
      <c r="B56">
        <v>2</v>
      </c>
      <c r="C56">
        <v>2</v>
      </c>
      <c r="D56">
        <v>2027</v>
      </c>
      <c r="E56">
        <f t="shared" si="1"/>
        <v>0.34</v>
      </c>
    </row>
    <row r="57" spans="1:7">
      <c r="A57">
        <v>1</v>
      </c>
      <c r="B57">
        <v>2</v>
      </c>
      <c r="C57">
        <v>2</v>
      </c>
      <c r="D57">
        <v>2028</v>
      </c>
      <c r="E57">
        <f t="shared" si="1"/>
        <v>0.4</v>
      </c>
    </row>
    <row r="58" spans="1:7">
      <c r="A58">
        <v>1</v>
      </c>
      <c r="B58">
        <v>2</v>
      </c>
      <c r="C58">
        <v>2</v>
      </c>
      <c r="D58">
        <v>2029</v>
      </c>
      <c r="E58">
        <f t="shared" si="1"/>
        <v>0.4</v>
      </c>
    </row>
    <row r="59" spans="1:7">
      <c r="A59">
        <v>1</v>
      </c>
      <c r="B59">
        <v>2</v>
      </c>
      <c r="C59">
        <v>2</v>
      </c>
      <c r="D59">
        <v>2030</v>
      </c>
      <c r="E59">
        <f t="shared" si="1"/>
        <v>0.4</v>
      </c>
    </row>
    <row r="60" spans="1:7">
      <c r="A60">
        <v>1</v>
      </c>
      <c r="B60">
        <v>2</v>
      </c>
      <c r="C60">
        <v>2</v>
      </c>
      <c r="D60">
        <v>2031</v>
      </c>
      <c r="E60">
        <f t="shared" si="1"/>
        <v>0.4</v>
      </c>
    </row>
    <row r="61" spans="1:7">
      <c r="A61">
        <v>1</v>
      </c>
      <c r="B61">
        <v>2</v>
      </c>
      <c r="C61">
        <v>2</v>
      </c>
      <c r="D61">
        <v>2032</v>
      </c>
      <c r="E61">
        <f t="shared" si="1"/>
        <v>0.44000000000000006</v>
      </c>
    </row>
    <row r="62" spans="1:7">
      <c r="A62">
        <v>1</v>
      </c>
      <c r="B62">
        <v>2</v>
      </c>
      <c r="C62">
        <v>1</v>
      </c>
      <c r="D62">
        <v>2018</v>
      </c>
      <c r="E62">
        <f>E2*$F$62</f>
        <v>0.24</v>
      </c>
      <c r="F62">
        <v>0.2</v>
      </c>
      <c r="G62" t="s">
        <v>43</v>
      </c>
    </row>
    <row r="63" spans="1:7">
      <c r="A63">
        <v>1</v>
      </c>
      <c r="B63">
        <v>2</v>
      </c>
      <c r="C63">
        <v>1</v>
      </c>
      <c r="D63">
        <v>2019</v>
      </c>
      <c r="E63">
        <f t="shared" ref="E63:E91" si="2">E3*$F$62</f>
        <v>0.24</v>
      </c>
    </row>
    <row r="64" spans="1:7">
      <c r="A64">
        <v>1</v>
      </c>
      <c r="B64">
        <v>2</v>
      </c>
      <c r="C64">
        <v>1</v>
      </c>
      <c r="D64">
        <v>2020</v>
      </c>
      <c r="E64">
        <f t="shared" si="2"/>
        <v>0.26</v>
      </c>
    </row>
    <row r="65" spans="1:5">
      <c r="A65">
        <v>1</v>
      </c>
      <c r="B65">
        <v>2</v>
      </c>
      <c r="C65">
        <v>1</v>
      </c>
      <c r="D65">
        <v>2021</v>
      </c>
      <c r="E65">
        <f t="shared" si="2"/>
        <v>0.30000000000000004</v>
      </c>
    </row>
    <row r="66" spans="1:5">
      <c r="A66">
        <v>1</v>
      </c>
      <c r="B66">
        <v>2</v>
      </c>
      <c r="C66">
        <v>1</v>
      </c>
      <c r="D66">
        <v>2022</v>
      </c>
      <c r="E66">
        <f t="shared" si="2"/>
        <v>0.30000000000000004</v>
      </c>
    </row>
    <row r="67" spans="1:5">
      <c r="A67">
        <v>1</v>
      </c>
      <c r="B67">
        <v>2</v>
      </c>
      <c r="C67">
        <v>1</v>
      </c>
      <c r="D67">
        <v>2023</v>
      </c>
      <c r="E67">
        <f t="shared" si="2"/>
        <v>0.30000000000000004</v>
      </c>
    </row>
    <row r="68" spans="1:5">
      <c r="A68">
        <v>1</v>
      </c>
      <c r="B68">
        <v>2</v>
      </c>
      <c r="C68">
        <v>1</v>
      </c>
      <c r="D68">
        <v>2024</v>
      </c>
      <c r="E68">
        <f t="shared" si="2"/>
        <v>0.34</v>
      </c>
    </row>
    <row r="69" spans="1:5">
      <c r="A69">
        <v>1</v>
      </c>
      <c r="B69">
        <v>2</v>
      </c>
      <c r="C69">
        <v>1</v>
      </c>
      <c r="D69">
        <v>2025</v>
      </c>
      <c r="E69">
        <f t="shared" si="2"/>
        <v>0.34</v>
      </c>
    </row>
    <row r="70" spans="1:5">
      <c r="A70">
        <v>1</v>
      </c>
      <c r="B70">
        <v>2</v>
      </c>
      <c r="C70">
        <v>1</v>
      </c>
      <c r="D70">
        <v>2026</v>
      </c>
      <c r="E70">
        <f t="shared" si="2"/>
        <v>0.34</v>
      </c>
    </row>
    <row r="71" spans="1:5">
      <c r="A71">
        <v>1</v>
      </c>
      <c r="B71">
        <v>2</v>
      </c>
      <c r="C71">
        <v>1</v>
      </c>
      <c r="D71">
        <v>2027</v>
      </c>
      <c r="E71">
        <f t="shared" si="2"/>
        <v>0.34</v>
      </c>
    </row>
    <row r="72" spans="1:5">
      <c r="A72">
        <v>1</v>
      </c>
      <c r="B72">
        <v>2</v>
      </c>
      <c r="C72">
        <v>1</v>
      </c>
      <c r="D72">
        <v>2028</v>
      </c>
      <c r="E72">
        <f t="shared" si="2"/>
        <v>0.4</v>
      </c>
    </row>
    <row r="73" spans="1:5">
      <c r="A73">
        <v>1</v>
      </c>
      <c r="B73">
        <v>2</v>
      </c>
      <c r="C73">
        <v>1</v>
      </c>
      <c r="D73">
        <v>2029</v>
      </c>
      <c r="E73">
        <f t="shared" si="2"/>
        <v>0.4</v>
      </c>
    </row>
    <row r="74" spans="1:5">
      <c r="A74">
        <v>1</v>
      </c>
      <c r="B74">
        <v>2</v>
      </c>
      <c r="C74">
        <v>1</v>
      </c>
      <c r="D74">
        <v>2030</v>
      </c>
      <c r="E74">
        <f t="shared" si="2"/>
        <v>0.4</v>
      </c>
    </row>
    <row r="75" spans="1:5">
      <c r="A75">
        <v>1</v>
      </c>
      <c r="B75">
        <v>2</v>
      </c>
      <c r="C75">
        <v>1</v>
      </c>
      <c r="D75">
        <v>2031</v>
      </c>
      <c r="E75">
        <f t="shared" si="2"/>
        <v>0.4</v>
      </c>
    </row>
    <row r="76" spans="1:5">
      <c r="A76">
        <v>1</v>
      </c>
      <c r="B76">
        <v>2</v>
      </c>
      <c r="C76">
        <v>1</v>
      </c>
      <c r="D76">
        <v>2032</v>
      </c>
      <c r="E76">
        <f t="shared" si="2"/>
        <v>0.44000000000000006</v>
      </c>
    </row>
    <row r="77" spans="1:5">
      <c r="A77">
        <v>1</v>
      </c>
      <c r="B77">
        <v>2</v>
      </c>
      <c r="C77">
        <v>2</v>
      </c>
      <c r="D77">
        <v>2018</v>
      </c>
      <c r="E77">
        <f t="shared" si="2"/>
        <v>0.12</v>
      </c>
    </row>
    <row r="78" spans="1:5">
      <c r="A78">
        <v>1</v>
      </c>
      <c r="B78">
        <v>2</v>
      </c>
      <c r="C78">
        <v>2</v>
      </c>
      <c r="D78">
        <v>2019</v>
      </c>
      <c r="E78">
        <f t="shared" si="2"/>
        <v>0.12</v>
      </c>
    </row>
    <row r="79" spans="1:5">
      <c r="A79">
        <v>1</v>
      </c>
      <c r="B79">
        <v>2</v>
      </c>
      <c r="C79">
        <v>2</v>
      </c>
      <c r="D79">
        <v>2020</v>
      </c>
      <c r="E79">
        <f t="shared" si="2"/>
        <v>0.13</v>
      </c>
    </row>
    <row r="80" spans="1:5">
      <c r="A80">
        <v>1</v>
      </c>
      <c r="B80">
        <v>2</v>
      </c>
      <c r="C80">
        <v>2</v>
      </c>
      <c r="D80">
        <v>2021</v>
      </c>
      <c r="E80">
        <f t="shared" si="2"/>
        <v>0.15000000000000002</v>
      </c>
    </row>
    <row r="81" spans="1:5">
      <c r="A81">
        <v>1</v>
      </c>
      <c r="B81">
        <v>2</v>
      </c>
      <c r="C81">
        <v>2</v>
      </c>
      <c r="D81">
        <v>2022</v>
      </c>
      <c r="E81">
        <f t="shared" si="2"/>
        <v>0.15000000000000002</v>
      </c>
    </row>
    <row r="82" spans="1:5">
      <c r="A82">
        <v>1</v>
      </c>
      <c r="B82">
        <v>2</v>
      </c>
      <c r="C82">
        <v>2</v>
      </c>
      <c r="D82">
        <v>2023</v>
      </c>
      <c r="E82">
        <f t="shared" si="2"/>
        <v>0.15000000000000002</v>
      </c>
    </row>
    <row r="83" spans="1:5">
      <c r="A83">
        <v>1</v>
      </c>
      <c r="B83">
        <v>2</v>
      </c>
      <c r="C83">
        <v>2</v>
      </c>
      <c r="D83">
        <v>2024</v>
      </c>
      <c r="E83">
        <f t="shared" si="2"/>
        <v>0.17</v>
      </c>
    </row>
    <row r="84" spans="1:5">
      <c r="A84">
        <v>1</v>
      </c>
      <c r="B84">
        <v>2</v>
      </c>
      <c r="C84">
        <v>2</v>
      </c>
      <c r="D84">
        <v>2025</v>
      </c>
      <c r="E84">
        <f t="shared" si="2"/>
        <v>0.17</v>
      </c>
    </row>
    <row r="85" spans="1:5">
      <c r="A85">
        <v>1</v>
      </c>
      <c r="B85">
        <v>2</v>
      </c>
      <c r="C85">
        <v>2</v>
      </c>
      <c r="D85">
        <v>2026</v>
      </c>
      <c r="E85">
        <f t="shared" si="2"/>
        <v>0.17</v>
      </c>
    </row>
    <row r="86" spans="1:5">
      <c r="A86">
        <v>1</v>
      </c>
      <c r="B86">
        <v>2</v>
      </c>
      <c r="C86">
        <v>2</v>
      </c>
      <c r="D86">
        <v>2027</v>
      </c>
      <c r="E86">
        <f t="shared" si="2"/>
        <v>0.17</v>
      </c>
    </row>
    <row r="87" spans="1:5">
      <c r="A87">
        <v>1</v>
      </c>
      <c r="B87">
        <v>2</v>
      </c>
      <c r="C87">
        <v>2</v>
      </c>
      <c r="D87">
        <v>2028</v>
      </c>
      <c r="E87">
        <f t="shared" si="2"/>
        <v>0.2</v>
      </c>
    </row>
    <row r="88" spans="1:5">
      <c r="A88">
        <v>1</v>
      </c>
      <c r="B88">
        <v>2</v>
      </c>
      <c r="C88">
        <v>2</v>
      </c>
      <c r="D88">
        <v>2029</v>
      </c>
      <c r="E88">
        <f t="shared" si="2"/>
        <v>0.2</v>
      </c>
    </row>
    <row r="89" spans="1:5">
      <c r="A89">
        <v>1</v>
      </c>
      <c r="B89">
        <v>2</v>
      </c>
      <c r="C89">
        <v>2</v>
      </c>
      <c r="D89">
        <v>2030</v>
      </c>
      <c r="E89">
        <f t="shared" si="2"/>
        <v>0.2</v>
      </c>
    </row>
    <row r="90" spans="1:5">
      <c r="A90">
        <v>1</v>
      </c>
      <c r="B90">
        <v>2</v>
      </c>
      <c r="C90">
        <v>2</v>
      </c>
      <c r="D90">
        <v>2031</v>
      </c>
      <c r="E90">
        <f t="shared" si="2"/>
        <v>0.2</v>
      </c>
    </row>
    <row r="91" spans="1:5">
      <c r="A91">
        <v>1</v>
      </c>
      <c r="B91">
        <v>2</v>
      </c>
      <c r="C91">
        <v>2</v>
      </c>
      <c r="D91">
        <v>2032</v>
      </c>
      <c r="E91">
        <f t="shared" si="2"/>
        <v>0.22000000000000003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6"/>
  <sheetViews>
    <sheetView topLeftCell="A21" workbookViewId="0">
      <selection activeCell="D49" sqref="D49"/>
    </sheetView>
  </sheetViews>
  <sheetFormatPr baseColWidth="10" defaultRowHeight="15" x14ac:dyDescent="0"/>
  <cols>
    <col min="1" max="1" width="10" bestFit="1" customWidth="1"/>
    <col min="2" max="2" width="12.1640625" bestFit="1" customWidth="1"/>
    <col min="3" max="3" width="30.33203125" bestFit="1" customWidth="1"/>
    <col min="4" max="4" width="11.83203125" bestFit="1" customWidth="1"/>
    <col min="5" max="5" width="10.1640625" bestFit="1" customWidth="1"/>
    <col min="6" max="6" width="17.83203125" bestFit="1" customWidth="1"/>
    <col min="9" max="9" width="13.83203125" bestFit="1" customWidth="1"/>
  </cols>
  <sheetData>
    <row r="1" spans="1:10">
      <c r="A1" t="s">
        <v>0</v>
      </c>
      <c r="B1" t="s">
        <v>7</v>
      </c>
      <c r="C1" t="s">
        <v>6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</row>
    <row r="2" spans="1:10">
      <c r="A2">
        <v>1</v>
      </c>
      <c r="B2">
        <v>1</v>
      </c>
      <c r="C2" t="s">
        <v>83</v>
      </c>
      <c r="D2">
        <v>-116.149136</v>
      </c>
      <c r="E2">
        <v>43.529395999999998</v>
      </c>
      <c r="F2" t="s">
        <v>51</v>
      </c>
      <c r="G2" t="s">
        <v>52</v>
      </c>
      <c r="H2" t="s">
        <v>53</v>
      </c>
      <c r="I2" t="s">
        <v>54</v>
      </c>
      <c r="J2" t="s">
        <v>55</v>
      </c>
    </row>
    <row r="3" spans="1:10">
      <c r="A3">
        <v>2</v>
      </c>
      <c r="B3">
        <v>1</v>
      </c>
      <c r="C3" t="s">
        <v>84</v>
      </c>
      <c r="D3">
        <v>-77.503844999999998</v>
      </c>
      <c r="E3">
        <v>38.750829000000003</v>
      </c>
      <c r="F3" t="s">
        <v>56</v>
      </c>
      <c r="G3" t="s">
        <v>57</v>
      </c>
      <c r="H3" t="s">
        <v>58</v>
      </c>
      <c r="I3" t="s">
        <v>59</v>
      </c>
      <c r="J3" t="s">
        <v>55</v>
      </c>
    </row>
    <row r="4" spans="1:10">
      <c r="A4">
        <v>3</v>
      </c>
      <c r="B4">
        <v>1</v>
      </c>
      <c r="C4" t="s">
        <v>85</v>
      </c>
      <c r="D4">
        <v>103.864621</v>
      </c>
      <c r="E4">
        <v>1.31839</v>
      </c>
      <c r="F4" t="s">
        <v>60</v>
      </c>
      <c r="G4" t="s">
        <v>52</v>
      </c>
      <c r="H4" t="s">
        <v>53</v>
      </c>
      <c r="I4" t="s">
        <v>54</v>
      </c>
      <c r="J4" t="s">
        <v>55</v>
      </c>
    </row>
    <row r="5" spans="1:10">
      <c r="A5">
        <v>4</v>
      </c>
      <c r="B5">
        <v>1</v>
      </c>
      <c r="C5" t="s">
        <v>86</v>
      </c>
      <c r="D5">
        <v>103.76756899999999</v>
      </c>
      <c r="E5">
        <v>1.432186</v>
      </c>
      <c r="F5" t="s">
        <v>60</v>
      </c>
      <c r="G5" t="s">
        <v>52</v>
      </c>
      <c r="H5" t="s">
        <v>53</v>
      </c>
      <c r="I5" t="s">
        <v>54</v>
      </c>
      <c r="J5" t="s">
        <v>55</v>
      </c>
    </row>
    <row r="6" spans="1:10">
      <c r="A6">
        <v>5</v>
      </c>
      <c r="B6">
        <v>1</v>
      </c>
      <c r="C6" t="s">
        <v>87</v>
      </c>
      <c r="D6">
        <v>103.793645</v>
      </c>
      <c r="E6">
        <v>1.454831</v>
      </c>
      <c r="F6" t="s">
        <v>60</v>
      </c>
      <c r="G6" t="s">
        <v>52</v>
      </c>
      <c r="H6" t="s">
        <v>53</v>
      </c>
      <c r="I6" t="s">
        <v>54</v>
      </c>
      <c r="J6" t="s">
        <v>55</v>
      </c>
    </row>
    <row r="7" spans="1:10">
      <c r="A7">
        <v>6</v>
      </c>
      <c r="B7">
        <v>1</v>
      </c>
      <c r="C7" t="s">
        <v>82</v>
      </c>
      <c r="D7">
        <v>103.866405</v>
      </c>
      <c r="E7">
        <v>1.37479</v>
      </c>
      <c r="F7" t="s">
        <v>60</v>
      </c>
      <c r="G7" t="s">
        <v>52</v>
      </c>
      <c r="H7" t="s">
        <v>53</v>
      </c>
      <c r="I7" t="s">
        <v>54</v>
      </c>
      <c r="J7" t="s">
        <v>55</v>
      </c>
    </row>
    <row r="8" spans="1:10">
      <c r="A8">
        <v>7</v>
      </c>
      <c r="B8">
        <v>1</v>
      </c>
      <c r="C8" t="s">
        <v>88</v>
      </c>
      <c r="D8">
        <v>14.99</v>
      </c>
      <c r="E8">
        <v>37.421801000000002</v>
      </c>
      <c r="F8" t="s">
        <v>61</v>
      </c>
      <c r="G8" t="s">
        <v>52</v>
      </c>
      <c r="H8" t="s">
        <v>53</v>
      </c>
      <c r="I8" t="s">
        <v>54</v>
      </c>
      <c r="J8" t="s">
        <v>62</v>
      </c>
    </row>
    <row r="9" spans="1:10">
      <c r="A9">
        <v>8</v>
      </c>
      <c r="B9">
        <v>1</v>
      </c>
      <c r="C9" t="s">
        <v>89</v>
      </c>
      <c r="D9">
        <v>77.623906000000005</v>
      </c>
      <c r="E9">
        <v>12.982352000000001</v>
      </c>
      <c r="F9" t="s">
        <v>63</v>
      </c>
      <c r="G9" t="s">
        <v>52</v>
      </c>
      <c r="H9" t="s">
        <v>53</v>
      </c>
      <c r="I9" t="s">
        <v>54</v>
      </c>
      <c r="J9" t="s">
        <v>55</v>
      </c>
    </row>
    <row r="10" spans="1:10">
      <c r="A10">
        <v>9</v>
      </c>
      <c r="B10">
        <v>2</v>
      </c>
      <c r="C10" t="s">
        <v>90</v>
      </c>
      <c r="D10">
        <v>-112.8764</v>
      </c>
      <c r="E10">
        <v>42.777799999999999</v>
      </c>
      <c r="F10" t="s">
        <v>64</v>
      </c>
      <c r="G10" t="s">
        <v>52</v>
      </c>
      <c r="H10" t="s">
        <v>53</v>
      </c>
      <c r="I10" t="s">
        <v>54</v>
      </c>
      <c r="J10" t="s">
        <v>55</v>
      </c>
    </row>
    <row r="11" spans="1:10">
      <c r="A11">
        <v>10</v>
      </c>
      <c r="B11">
        <v>2</v>
      </c>
      <c r="C11" t="s">
        <v>91</v>
      </c>
      <c r="D11">
        <v>-115.070986</v>
      </c>
      <c r="E11">
        <v>42.913786000000002</v>
      </c>
      <c r="F11" t="s">
        <v>65</v>
      </c>
      <c r="G11" t="s">
        <v>52</v>
      </c>
      <c r="H11" t="s">
        <v>53</v>
      </c>
      <c r="I11" t="s">
        <v>54</v>
      </c>
      <c r="J11" t="s">
        <v>55</v>
      </c>
    </row>
    <row r="12" spans="1:10">
      <c r="A12">
        <v>11</v>
      </c>
      <c r="B12">
        <v>2</v>
      </c>
      <c r="C12" t="s">
        <v>92</v>
      </c>
      <c r="D12">
        <v>-116.89749999999999</v>
      </c>
      <c r="E12">
        <v>44.8367</v>
      </c>
      <c r="F12" t="s">
        <v>66</v>
      </c>
      <c r="G12" t="s">
        <v>52</v>
      </c>
      <c r="H12" t="s">
        <v>53</v>
      </c>
      <c r="I12" t="s">
        <v>54</v>
      </c>
      <c r="J12" t="s">
        <v>55</v>
      </c>
    </row>
    <row r="13" spans="1:10">
      <c r="A13">
        <v>12</v>
      </c>
      <c r="B13">
        <v>2</v>
      </c>
      <c r="C13" t="s">
        <v>93</v>
      </c>
      <c r="D13">
        <v>-115.977858</v>
      </c>
      <c r="E13">
        <v>42.944868999999997</v>
      </c>
      <c r="F13" t="s">
        <v>67</v>
      </c>
      <c r="G13" t="s">
        <v>52</v>
      </c>
      <c r="H13" t="s">
        <v>53</v>
      </c>
      <c r="I13" t="s">
        <v>54</v>
      </c>
      <c r="J13" t="s">
        <v>55</v>
      </c>
    </row>
    <row r="14" spans="1:10">
      <c r="A14">
        <v>13</v>
      </c>
      <c r="B14">
        <v>2</v>
      </c>
      <c r="C14" t="s">
        <v>94</v>
      </c>
      <c r="D14">
        <v>-116.0483</v>
      </c>
      <c r="E14">
        <v>44.525599999999997</v>
      </c>
      <c r="F14" t="s">
        <v>68</v>
      </c>
      <c r="G14" t="s">
        <v>52</v>
      </c>
      <c r="H14" t="s">
        <v>53</v>
      </c>
      <c r="I14" t="s">
        <v>54</v>
      </c>
      <c r="J14" t="s">
        <v>55</v>
      </c>
    </row>
    <row r="15" spans="1:10">
      <c r="A15">
        <v>14</v>
      </c>
      <c r="B15">
        <v>2</v>
      </c>
      <c r="C15" t="s">
        <v>95</v>
      </c>
      <c r="D15">
        <v>-114.78012</v>
      </c>
      <c r="E15">
        <v>42.667009999999998</v>
      </c>
      <c r="F15" t="s">
        <v>69</v>
      </c>
      <c r="G15" t="s">
        <v>52</v>
      </c>
      <c r="H15" t="s">
        <v>53</v>
      </c>
      <c r="I15" t="s">
        <v>54</v>
      </c>
      <c r="J15" t="s">
        <v>55</v>
      </c>
    </row>
    <row r="16" spans="1:10">
      <c r="A16">
        <v>15</v>
      </c>
      <c r="B16">
        <v>2</v>
      </c>
      <c r="C16" t="s">
        <v>96</v>
      </c>
      <c r="D16">
        <v>-114.906172</v>
      </c>
      <c r="E16">
        <v>42.865783</v>
      </c>
      <c r="F16" t="s">
        <v>70</v>
      </c>
      <c r="G16" t="s">
        <v>52</v>
      </c>
      <c r="H16" t="s">
        <v>53</v>
      </c>
      <c r="I16" t="s">
        <v>54</v>
      </c>
      <c r="J16" t="s">
        <v>55</v>
      </c>
    </row>
    <row r="17" spans="1:10">
      <c r="A17">
        <v>16</v>
      </c>
      <c r="B17">
        <v>2</v>
      </c>
      <c r="C17" t="s">
        <v>97</v>
      </c>
      <c r="D17">
        <v>-114.903611</v>
      </c>
      <c r="E17">
        <v>42.841608000000001</v>
      </c>
      <c r="F17" t="s">
        <v>70</v>
      </c>
      <c r="G17" t="s">
        <v>52</v>
      </c>
      <c r="H17" t="s">
        <v>53</v>
      </c>
      <c r="I17" t="s">
        <v>54</v>
      </c>
      <c r="J17" t="s">
        <v>55</v>
      </c>
    </row>
    <row r="18" spans="1:10">
      <c r="A18">
        <v>17</v>
      </c>
      <c r="B18">
        <v>2</v>
      </c>
      <c r="C18" t="s">
        <v>98</v>
      </c>
      <c r="D18">
        <v>-113.885307</v>
      </c>
      <c r="E18">
        <v>45.183368000000002</v>
      </c>
      <c r="F18" t="s">
        <v>71</v>
      </c>
      <c r="G18" t="s">
        <v>52</v>
      </c>
      <c r="H18" t="s">
        <v>53</v>
      </c>
      <c r="I18" t="s">
        <v>54</v>
      </c>
      <c r="J18" t="s">
        <v>55</v>
      </c>
    </row>
    <row r="19" spans="1:10">
      <c r="A19">
        <v>18</v>
      </c>
      <c r="B19">
        <v>2</v>
      </c>
      <c r="C19" t="s">
        <v>99</v>
      </c>
      <c r="D19">
        <v>-114.4033</v>
      </c>
      <c r="E19">
        <v>42.597499999999997</v>
      </c>
      <c r="F19" t="s">
        <v>72</v>
      </c>
      <c r="G19" t="s">
        <v>52</v>
      </c>
      <c r="H19" t="s">
        <v>53</v>
      </c>
      <c r="I19" t="s">
        <v>54</v>
      </c>
      <c r="J19" t="s">
        <v>55</v>
      </c>
    </row>
    <row r="20" spans="1:10">
      <c r="A20">
        <v>19</v>
      </c>
      <c r="B20">
        <v>2</v>
      </c>
      <c r="C20" t="s">
        <v>100</v>
      </c>
      <c r="D20">
        <v>-116.37909999999999</v>
      </c>
      <c r="E20">
        <v>43.243499999999997</v>
      </c>
      <c r="F20" t="s">
        <v>73</v>
      </c>
      <c r="G20" t="s">
        <v>52</v>
      </c>
      <c r="H20" t="s">
        <v>53</v>
      </c>
      <c r="I20" t="s">
        <v>54</v>
      </c>
      <c r="J20" t="s">
        <v>55</v>
      </c>
    </row>
    <row r="21" spans="1:10">
      <c r="A21">
        <v>20</v>
      </c>
      <c r="B21">
        <v>2</v>
      </c>
      <c r="C21" t="s">
        <v>101</v>
      </c>
      <c r="D21">
        <v>-114.83672199999999</v>
      </c>
      <c r="E21">
        <v>42.740541999999998</v>
      </c>
      <c r="F21" t="s">
        <v>74</v>
      </c>
      <c r="G21" t="s">
        <v>52</v>
      </c>
      <c r="H21" t="s">
        <v>53</v>
      </c>
      <c r="I21" t="s">
        <v>54</v>
      </c>
      <c r="J21" t="s">
        <v>55</v>
      </c>
    </row>
    <row r="22" spans="1:10">
      <c r="A22">
        <v>21</v>
      </c>
      <c r="B22">
        <v>2</v>
      </c>
      <c r="C22" t="s">
        <v>102</v>
      </c>
      <c r="D22">
        <v>-114.3553</v>
      </c>
      <c r="E22">
        <v>42.589199999999998</v>
      </c>
      <c r="F22" t="s">
        <v>75</v>
      </c>
      <c r="G22" t="s">
        <v>52</v>
      </c>
      <c r="H22" t="s">
        <v>53</v>
      </c>
      <c r="I22" t="s">
        <v>54</v>
      </c>
      <c r="J22" t="s">
        <v>55</v>
      </c>
    </row>
    <row r="23" spans="1:10">
      <c r="A23">
        <v>22</v>
      </c>
      <c r="B23">
        <v>2</v>
      </c>
      <c r="C23" t="s">
        <v>103</v>
      </c>
      <c r="D23">
        <v>-114.92469199999999</v>
      </c>
      <c r="E23">
        <v>42.767422000000003</v>
      </c>
      <c r="F23" t="s">
        <v>70</v>
      </c>
      <c r="G23" t="s">
        <v>52</v>
      </c>
      <c r="H23" t="s">
        <v>53</v>
      </c>
      <c r="I23" t="s">
        <v>54</v>
      </c>
      <c r="J23" t="s">
        <v>55</v>
      </c>
    </row>
    <row r="24" spans="1:10">
      <c r="A24">
        <v>23</v>
      </c>
      <c r="B24">
        <v>2</v>
      </c>
      <c r="C24" t="s">
        <v>104</v>
      </c>
      <c r="D24">
        <v>-114.885542</v>
      </c>
      <c r="E24">
        <v>42.864266999999998</v>
      </c>
      <c r="F24" t="s">
        <v>70</v>
      </c>
      <c r="G24" t="s">
        <v>52</v>
      </c>
      <c r="H24" t="s">
        <v>53</v>
      </c>
      <c r="I24" t="s">
        <v>54</v>
      </c>
      <c r="J24" t="s">
        <v>55</v>
      </c>
    </row>
    <row r="25" spans="1:10">
      <c r="A25">
        <v>24</v>
      </c>
      <c r="B25">
        <v>2</v>
      </c>
      <c r="C25" t="s">
        <v>105</v>
      </c>
      <c r="D25">
        <v>-116.7008</v>
      </c>
      <c r="E25">
        <v>45.243899999999996</v>
      </c>
      <c r="F25" t="s">
        <v>76</v>
      </c>
      <c r="G25" t="s">
        <v>52</v>
      </c>
      <c r="H25" t="s">
        <v>53</v>
      </c>
      <c r="I25" t="s">
        <v>54</v>
      </c>
      <c r="J25" t="s">
        <v>55</v>
      </c>
    </row>
    <row r="26" spans="1:10">
      <c r="A26">
        <v>25</v>
      </c>
      <c r="B26">
        <v>2</v>
      </c>
      <c r="C26" t="s">
        <v>106</v>
      </c>
      <c r="D26">
        <v>-116.835042</v>
      </c>
      <c r="E26">
        <v>44.971643</v>
      </c>
      <c r="F26" t="s">
        <v>76</v>
      </c>
      <c r="G26" t="s">
        <v>52</v>
      </c>
      <c r="H26" t="s">
        <v>53</v>
      </c>
      <c r="I26" t="s">
        <v>54</v>
      </c>
      <c r="J26" t="s">
        <v>55</v>
      </c>
    </row>
    <row r="27" spans="1:10">
      <c r="A27">
        <v>26</v>
      </c>
      <c r="B27">
        <v>2</v>
      </c>
      <c r="C27" t="s">
        <v>107</v>
      </c>
      <c r="D27">
        <v>-114.908236</v>
      </c>
      <c r="E27">
        <v>42.766396999999998</v>
      </c>
      <c r="F27" t="s">
        <v>70</v>
      </c>
      <c r="G27" t="s">
        <v>52</v>
      </c>
      <c r="H27" t="s">
        <v>53</v>
      </c>
      <c r="I27" t="s">
        <v>54</v>
      </c>
      <c r="J27" t="s">
        <v>55</v>
      </c>
    </row>
    <row r="28" spans="1:10">
      <c r="A28">
        <v>27</v>
      </c>
      <c r="B28">
        <v>2</v>
      </c>
      <c r="C28" t="s">
        <v>108</v>
      </c>
      <c r="D28">
        <v>-114.036889</v>
      </c>
      <c r="E28">
        <v>42.526786000000001</v>
      </c>
      <c r="F28" t="s">
        <v>77</v>
      </c>
      <c r="G28" t="s">
        <v>52</v>
      </c>
      <c r="H28" t="s">
        <v>53</v>
      </c>
      <c r="I28" t="s">
        <v>54</v>
      </c>
      <c r="J28" t="s">
        <v>55</v>
      </c>
    </row>
    <row r="29" spans="1:10">
      <c r="A29">
        <v>28</v>
      </c>
      <c r="B29">
        <v>2</v>
      </c>
      <c r="C29" t="s">
        <v>109</v>
      </c>
      <c r="D29">
        <v>-115.734315</v>
      </c>
      <c r="E29">
        <v>43.179175999999998</v>
      </c>
      <c r="F29" t="s">
        <v>78</v>
      </c>
      <c r="G29" t="s">
        <v>52</v>
      </c>
      <c r="H29" t="s">
        <v>53</v>
      </c>
      <c r="I29" t="s">
        <v>54</v>
      </c>
      <c r="J29" t="s">
        <v>55</v>
      </c>
    </row>
    <row r="30" spans="1:10">
      <c r="A30">
        <v>29</v>
      </c>
      <c r="B30">
        <v>2</v>
      </c>
      <c r="C30" t="s">
        <v>110</v>
      </c>
      <c r="D30">
        <v>-115.66663699999999</v>
      </c>
      <c r="E30">
        <v>43.147153000000003</v>
      </c>
      <c r="F30" t="s">
        <v>78</v>
      </c>
      <c r="G30" t="s">
        <v>52</v>
      </c>
      <c r="H30" t="s">
        <v>53</v>
      </c>
      <c r="I30" t="s">
        <v>54</v>
      </c>
      <c r="J30" t="s">
        <v>55</v>
      </c>
    </row>
    <row r="31" spans="1:10">
      <c r="A31">
        <v>30</v>
      </c>
      <c r="B31">
        <v>2</v>
      </c>
      <c r="C31" t="s">
        <v>111</v>
      </c>
      <c r="D31">
        <v>-116.819722</v>
      </c>
      <c r="E31">
        <v>43.904443999999998</v>
      </c>
      <c r="F31" t="s">
        <v>79</v>
      </c>
      <c r="G31" t="s">
        <v>52</v>
      </c>
      <c r="H31" t="s">
        <v>53</v>
      </c>
      <c r="I31" t="s">
        <v>54</v>
      </c>
      <c r="J31" t="s">
        <v>55</v>
      </c>
    </row>
    <row r="32" spans="1:10">
      <c r="A32">
        <v>31</v>
      </c>
      <c r="B32">
        <v>3</v>
      </c>
      <c r="C32" t="s">
        <v>83</v>
      </c>
      <c r="D32">
        <v>-116.3253437</v>
      </c>
      <c r="E32">
        <v>43.658526999999999</v>
      </c>
      <c r="F32" t="s">
        <v>51</v>
      </c>
      <c r="G32" t="s">
        <v>52</v>
      </c>
      <c r="H32" t="s">
        <v>53</v>
      </c>
      <c r="I32" t="s">
        <v>54</v>
      </c>
      <c r="J32" s="4" t="s">
        <v>55</v>
      </c>
    </row>
    <row r="33" spans="1:10">
      <c r="A33">
        <v>32</v>
      </c>
      <c r="B33">
        <v>3</v>
      </c>
      <c r="C33" t="s">
        <v>132</v>
      </c>
      <c r="D33">
        <v>-104.849597</v>
      </c>
      <c r="E33">
        <v>38.920178100000001</v>
      </c>
      <c r="F33" t="s">
        <v>134</v>
      </c>
      <c r="G33" t="s">
        <v>52</v>
      </c>
      <c r="H33" t="s">
        <v>53</v>
      </c>
      <c r="I33" t="s">
        <v>54</v>
      </c>
      <c r="J33" s="4" t="s">
        <v>55</v>
      </c>
    </row>
    <row r="34" spans="1:10">
      <c r="A34">
        <v>33</v>
      </c>
      <c r="B34">
        <v>3</v>
      </c>
      <c r="C34" t="s">
        <v>141</v>
      </c>
      <c r="D34">
        <v>-123.2450786</v>
      </c>
      <c r="E34">
        <v>44.585427600000003</v>
      </c>
      <c r="F34" t="s">
        <v>133</v>
      </c>
      <c r="G34" t="s">
        <v>52</v>
      </c>
      <c r="H34" t="s">
        <v>53</v>
      </c>
      <c r="I34" t="s">
        <v>54</v>
      </c>
      <c r="J34" s="4" t="s">
        <v>55</v>
      </c>
    </row>
    <row r="35" spans="1:10">
      <c r="A35">
        <v>34</v>
      </c>
      <c r="B35">
        <v>3</v>
      </c>
      <c r="C35" t="s">
        <v>140</v>
      </c>
      <c r="D35">
        <v>-122.0327049</v>
      </c>
      <c r="E35">
        <v>37.321731999999997</v>
      </c>
      <c r="F35" t="s">
        <v>135</v>
      </c>
      <c r="G35" t="s">
        <v>52</v>
      </c>
      <c r="H35" t="s">
        <v>53</v>
      </c>
      <c r="I35" t="s">
        <v>54</v>
      </c>
      <c r="J35" s="4" t="s">
        <v>55</v>
      </c>
    </row>
    <row r="36" spans="1:10">
      <c r="A36">
        <v>35</v>
      </c>
      <c r="B36">
        <v>3</v>
      </c>
      <c r="C36" t="s">
        <v>136</v>
      </c>
      <c r="D36">
        <v>-95.823630399999999</v>
      </c>
      <c r="E36">
        <v>29.8128657</v>
      </c>
      <c r="F36" t="s">
        <v>137</v>
      </c>
      <c r="G36" t="s">
        <v>52</v>
      </c>
      <c r="H36" t="s">
        <v>53</v>
      </c>
      <c r="I36" t="s">
        <v>54</v>
      </c>
      <c r="J36" s="4" t="s">
        <v>55</v>
      </c>
    </row>
    <row r="37" spans="1:10">
      <c r="A37">
        <v>36</v>
      </c>
      <c r="B37">
        <v>3</v>
      </c>
      <c r="C37" t="s">
        <v>139</v>
      </c>
      <c r="D37">
        <v>-122.16796359999999</v>
      </c>
      <c r="E37">
        <v>37.427636300000003</v>
      </c>
      <c r="F37" t="s">
        <v>138</v>
      </c>
      <c r="G37" t="s">
        <v>52</v>
      </c>
      <c r="H37" t="s">
        <v>53</v>
      </c>
      <c r="I37" t="s">
        <v>54</v>
      </c>
      <c r="J37" s="4" t="s">
        <v>55</v>
      </c>
    </row>
    <row r="38" spans="1:10">
      <c r="A38">
        <v>37</v>
      </c>
      <c r="B38">
        <v>3</v>
      </c>
      <c r="C38" t="s">
        <v>142</v>
      </c>
      <c r="D38">
        <v>-96.805558300000001</v>
      </c>
      <c r="E38">
        <v>33.043019700000002</v>
      </c>
      <c r="F38" t="s">
        <v>143</v>
      </c>
      <c r="G38" t="s">
        <v>52</v>
      </c>
      <c r="H38" t="s">
        <v>53</v>
      </c>
      <c r="I38" t="s">
        <v>54</v>
      </c>
      <c r="J38" s="4" t="s">
        <v>55</v>
      </c>
    </row>
    <row r="39" spans="1:10">
      <c r="A39">
        <v>38</v>
      </c>
      <c r="B39">
        <v>3</v>
      </c>
      <c r="C39" t="s">
        <v>144</v>
      </c>
      <c r="D39">
        <v>-121.3208949</v>
      </c>
      <c r="E39">
        <v>38.785600199999998</v>
      </c>
      <c r="F39" t="s">
        <v>145</v>
      </c>
      <c r="G39" t="s">
        <v>52</v>
      </c>
      <c r="H39" t="s">
        <v>53</v>
      </c>
      <c r="I39" t="s">
        <v>54</v>
      </c>
      <c r="J39" s="4" t="s">
        <v>55</v>
      </c>
    </row>
    <row r="40" spans="1:10">
      <c r="A40">
        <v>39</v>
      </c>
      <c r="B40">
        <v>3</v>
      </c>
      <c r="C40" t="s">
        <v>146</v>
      </c>
      <c r="D40">
        <v>-117.39390880000001</v>
      </c>
      <c r="E40">
        <v>34.211296099999998</v>
      </c>
      <c r="F40" t="s">
        <v>147</v>
      </c>
      <c r="G40" t="s">
        <v>52</v>
      </c>
      <c r="H40" t="s">
        <v>53</v>
      </c>
      <c r="I40" t="s">
        <v>54</v>
      </c>
      <c r="J40" s="4" t="s">
        <v>55</v>
      </c>
    </row>
    <row r="41" spans="1:10">
      <c r="A41">
        <v>40</v>
      </c>
      <c r="B41">
        <v>3</v>
      </c>
      <c r="C41" t="s">
        <v>148</v>
      </c>
      <c r="D41">
        <v>-6.4846804999999996</v>
      </c>
      <c r="E41">
        <v>53.3728178</v>
      </c>
      <c r="F41" t="s">
        <v>157</v>
      </c>
      <c r="G41" t="s">
        <v>52</v>
      </c>
      <c r="H41" t="s">
        <v>53</v>
      </c>
      <c r="I41" t="s">
        <v>54</v>
      </c>
      <c r="J41" s="4" t="s">
        <v>55</v>
      </c>
    </row>
    <row r="42" spans="1:10">
      <c r="A42">
        <v>41</v>
      </c>
      <c r="B42">
        <v>3</v>
      </c>
      <c r="C42" t="s">
        <v>149</v>
      </c>
      <c r="D42">
        <v>-67.112177700000004</v>
      </c>
      <c r="E42">
        <v>18.486511</v>
      </c>
      <c r="F42" t="s">
        <v>149</v>
      </c>
      <c r="G42" t="s">
        <v>52</v>
      </c>
      <c r="H42" t="s">
        <v>53</v>
      </c>
      <c r="I42" t="s">
        <v>54</v>
      </c>
      <c r="J42" s="4" t="s">
        <v>55</v>
      </c>
    </row>
    <row r="43" spans="1:10">
      <c r="A43">
        <v>42</v>
      </c>
      <c r="B43">
        <v>3</v>
      </c>
      <c r="C43" t="s">
        <v>150</v>
      </c>
      <c r="D43">
        <v>2.0603031000000001</v>
      </c>
      <c r="E43">
        <v>41.491896699999998</v>
      </c>
      <c r="F43" t="s">
        <v>156</v>
      </c>
      <c r="G43" t="s">
        <v>52</v>
      </c>
      <c r="H43" t="s">
        <v>53</v>
      </c>
      <c r="I43" t="s">
        <v>54</v>
      </c>
      <c r="J43" s="4" t="s">
        <v>55</v>
      </c>
    </row>
    <row r="44" spans="1:10">
      <c r="A44">
        <v>43</v>
      </c>
      <c r="B44">
        <v>3</v>
      </c>
      <c r="C44" t="s">
        <v>151</v>
      </c>
      <c r="D44">
        <v>34.803219599999998</v>
      </c>
      <c r="E44">
        <v>31.915805200000001</v>
      </c>
      <c r="F44" t="s">
        <v>152</v>
      </c>
      <c r="G44" t="s">
        <v>52</v>
      </c>
      <c r="H44" t="s">
        <v>53</v>
      </c>
      <c r="I44" t="s">
        <v>54</v>
      </c>
      <c r="J44" s="4" t="s">
        <v>55</v>
      </c>
    </row>
    <row r="45" spans="1:10">
      <c r="A45">
        <v>44</v>
      </c>
      <c r="B45">
        <v>3</v>
      </c>
      <c r="C45" t="s">
        <v>153</v>
      </c>
      <c r="D45">
        <v>103.7995975</v>
      </c>
      <c r="E45">
        <v>1.2765481000000001</v>
      </c>
      <c r="F45" t="s">
        <v>153</v>
      </c>
      <c r="G45" t="s">
        <v>52</v>
      </c>
      <c r="H45" t="s">
        <v>53</v>
      </c>
      <c r="I45" t="s">
        <v>54</v>
      </c>
      <c r="J45" s="4" t="s">
        <v>55</v>
      </c>
    </row>
    <row r="46" spans="1:10">
      <c r="A46">
        <v>45</v>
      </c>
      <c r="B46">
        <v>3</v>
      </c>
      <c r="C46" t="s">
        <v>154</v>
      </c>
      <c r="D46">
        <v>-117.29049430000001</v>
      </c>
      <c r="E46" s="4">
        <v>32.906609799999998</v>
      </c>
      <c r="F46" t="s">
        <v>155</v>
      </c>
      <c r="G46" t="s">
        <v>52</v>
      </c>
      <c r="H46" t="s">
        <v>53</v>
      </c>
      <c r="I46" t="s">
        <v>54</v>
      </c>
      <c r="J46" s="4" t="s">
        <v>55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activeCell="D4" sqref="D4"/>
    </sheetView>
  </sheetViews>
  <sheetFormatPr baseColWidth="10" defaultRowHeight="15" x14ac:dyDescent="0"/>
  <cols>
    <col min="1" max="1" width="12.1640625" bestFit="1" customWidth="1"/>
    <col min="2" max="2" width="20.6640625" bestFit="1" customWidth="1"/>
    <col min="4" max="4" width="12.1640625" bestFit="1" customWidth="1"/>
  </cols>
  <sheetData>
    <row r="1" spans="1:4">
      <c r="A1" t="s">
        <v>7</v>
      </c>
      <c r="B1" t="s">
        <v>8</v>
      </c>
      <c r="C1" t="s">
        <v>11</v>
      </c>
      <c r="D1" t="s">
        <v>10</v>
      </c>
    </row>
    <row r="2" spans="1:4">
      <c r="A2">
        <v>1</v>
      </c>
      <c r="B2" t="s">
        <v>9</v>
      </c>
      <c r="C2" t="s">
        <v>12</v>
      </c>
      <c r="D2" t="s">
        <v>13</v>
      </c>
    </row>
    <row r="3" spans="1:4">
      <c r="A3">
        <v>2</v>
      </c>
      <c r="B3" t="s">
        <v>81</v>
      </c>
      <c r="C3" t="s">
        <v>12</v>
      </c>
      <c r="D3" t="s">
        <v>80</v>
      </c>
    </row>
    <row r="4" spans="1:4">
      <c r="A4">
        <v>3</v>
      </c>
      <c r="B4" t="s">
        <v>130</v>
      </c>
      <c r="C4" t="s">
        <v>12</v>
      </c>
      <c r="D4" t="s">
        <v>131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activeCell="C1" sqref="C1"/>
    </sheetView>
  </sheetViews>
  <sheetFormatPr baseColWidth="10" defaultRowHeight="15" x14ac:dyDescent="0"/>
  <cols>
    <col min="1" max="1" width="14.5" bestFit="1" customWidth="1"/>
    <col min="2" max="2" width="17.5" bestFit="1" customWidth="1"/>
  </cols>
  <sheetData>
    <row r="1" spans="1:2">
      <c r="A1" t="s">
        <v>1</v>
      </c>
      <c r="B1" t="s">
        <v>19</v>
      </c>
    </row>
    <row r="2" spans="1:2">
      <c r="A2">
        <v>1</v>
      </c>
      <c r="B2" t="s">
        <v>15</v>
      </c>
    </row>
    <row r="3" spans="1:2">
      <c r="A3">
        <v>2</v>
      </c>
      <c r="B3" t="s">
        <v>14</v>
      </c>
    </row>
    <row r="4" spans="1:2">
      <c r="A4">
        <v>3</v>
      </c>
      <c r="B4" t="s">
        <v>16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>
      <selection activeCell="B14" sqref="B14"/>
    </sheetView>
  </sheetViews>
  <sheetFormatPr baseColWidth="10" defaultRowHeight="15" x14ac:dyDescent="0"/>
  <cols>
    <col min="1" max="1" width="12.83203125" bestFit="1" customWidth="1"/>
    <col min="2" max="2" width="16" bestFit="1" customWidth="1"/>
  </cols>
  <sheetData>
    <row r="1" spans="1:3">
      <c r="A1" t="s">
        <v>17</v>
      </c>
      <c r="B1" t="s">
        <v>18</v>
      </c>
      <c r="C1" t="s">
        <v>1</v>
      </c>
    </row>
    <row r="2" spans="1:3">
      <c r="A2">
        <v>1</v>
      </c>
      <c r="B2" t="s">
        <v>20</v>
      </c>
      <c r="C2">
        <v>1</v>
      </c>
    </row>
    <row r="3" spans="1:3">
      <c r="A3">
        <v>2</v>
      </c>
      <c r="B3" t="s">
        <v>21</v>
      </c>
      <c r="C3">
        <v>1</v>
      </c>
    </row>
    <row r="4" spans="1:3">
      <c r="A4">
        <v>3</v>
      </c>
      <c r="B4" t="s">
        <v>22</v>
      </c>
      <c r="C4">
        <v>1</v>
      </c>
    </row>
    <row r="5" spans="1:3">
      <c r="A5">
        <v>4</v>
      </c>
      <c r="B5" t="s">
        <v>23</v>
      </c>
      <c r="C5">
        <v>1</v>
      </c>
    </row>
    <row r="6" spans="1:3">
      <c r="A6">
        <v>5</v>
      </c>
      <c r="B6" t="s">
        <v>24</v>
      </c>
      <c r="C6">
        <v>2</v>
      </c>
    </row>
    <row r="7" spans="1:3">
      <c r="A7">
        <v>6</v>
      </c>
      <c r="B7" t="s">
        <v>25</v>
      </c>
      <c r="C7">
        <v>2</v>
      </c>
    </row>
    <row r="8" spans="1:3">
      <c r="A8">
        <v>7</v>
      </c>
      <c r="B8" t="s">
        <v>26</v>
      </c>
      <c r="C8">
        <v>3</v>
      </c>
    </row>
    <row r="9" spans="1:3">
      <c r="A9">
        <v>8</v>
      </c>
      <c r="B9" t="s">
        <v>27</v>
      </c>
      <c r="C9">
        <v>3</v>
      </c>
    </row>
    <row r="10" spans="1:3">
      <c r="A10">
        <v>9</v>
      </c>
      <c r="B10" t="s">
        <v>28</v>
      </c>
      <c r="C10">
        <v>3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tabSelected="1" workbookViewId="0">
      <selection activeCell="D2" sqref="D2"/>
    </sheetView>
  </sheetViews>
  <sheetFormatPr baseColWidth="10" defaultRowHeight="15" x14ac:dyDescent="0"/>
  <cols>
    <col min="2" max="2" width="12.83203125" bestFit="1" customWidth="1"/>
    <col min="3" max="3" width="94.1640625" bestFit="1" customWidth="1"/>
  </cols>
  <sheetData>
    <row r="1" spans="1:4">
      <c r="A1" t="s">
        <v>2</v>
      </c>
      <c r="B1" t="s">
        <v>17</v>
      </c>
      <c r="C1" t="s">
        <v>29</v>
      </c>
      <c r="D1" s="4" t="s">
        <v>160</v>
      </c>
    </row>
    <row r="2" spans="1:4">
      <c r="A2">
        <v>1</v>
      </c>
      <c r="B2">
        <v>1</v>
      </c>
      <c r="C2" s="1" t="s">
        <v>159</v>
      </c>
      <c r="D2" s="4" t="s">
        <v>179</v>
      </c>
    </row>
    <row r="3" spans="1:4">
      <c r="A3">
        <v>2</v>
      </c>
      <c r="B3">
        <v>1</v>
      </c>
      <c r="C3" t="s">
        <v>166</v>
      </c>
      <c r="D3" s="4" t="s">
        <v>174</v>
      </c>
    </row>
    <row r="4" spans="1:4">
      <c r="A4">
        <v>3</v>
      </c>
      <c r="B4">
        <v>2</v>
      </c>
      <c r="C4" t="s">
        <v>167</v>
      </c>
      <c r="D4" s="4" t="s">
        <v>178</v>
      </c>
    </row>
    <row r="5" spans="1:4">
      <c r="A5">
        <v>4</v>
      </c>
      <c r="B5">
        <v>3</v>
      </c>
      <c r="C5" t="s">
        <v>158</v>
      </c>
      <c r="D5" s="4" t="s">
        <v>162</v>
      </c>
    </row>
    <row r="6" spans="1:4">
      <c r="A6">
        <v>5</v>
      </c>
      <c r="B6">
        <v>4</v>
      </c>
      <c r="C6" t="s">
        <v>168</v>
      </c>
      <c r="D6" s="4" t="s">
        <v>161</v>
      </c>
    </row>
    <row r="7" spans="1:4">
      <c r="A7">
        <v>6</v>
      </c>
      <c r="B7">
        <v>5</v>
      </c>
      <c r="C7" t="s">
        <v>169</v>
      </c>
      <c r="D7" s="4" t="s">
        <v>177</v>
      </c>
    </row>
    <row r="8" spans="1:4">
      <c r="A8">
        <v>7</v>
      </c>
      <c r="B8">
        <v>5</v>
      </c>
      <c r="C8" t="s">
        <v>170</v>
      </c>
      <c r="D8" s="4" t="s">
        <v>176</v>
      </c>
    </row>
    <row r="9" spans="1:4">
      <c r="A9">
        <v>8</v>
      </c>
      <c r="B9">
        <v>6</v>
      </c>
      <c r="C9" t="s">
        <v>115</v>
      </c>
      <c r="D9" s="4" t="s">
        <v>163</v>
      </c>
    </row>
    <row r="10" spans="1:4">
      <c r="A10">
        <v>9</v>
      </c>
      <c r="B10">
        <v>6</v>
      </c>
      <c r="C10" t="s">
        <v>116</v>
      </c>
      <c r="D10" s="4" t="s">
        <v>164</v>
      </c>
    </row>
    <row r="11" spans="1:4">
      <c r="A11">
        <v>10</v>
      </c>
      <c r="B11">
        <v>7</v>
      </c>
      <c r="C11" t="s">
        <v>33</v>
      </c>
      <c r="D11" s="4" t="s">
        <v>182</v>
      </c>
    </row>
    <row r="12" spans="1:4">
      <c r="A12">
        <v>11</v>
      </c>
      <c r="B12">
        <v>7</v>
      </c>
      <c r="C12" t="s">
        <v>34</v>
      </c>
      <c r="D12" s="4" t="s">
        <v>180</v>
      </c>
    </row>
    <row r="13" spans="1:4">
      <c r="A13">
        <v>12</v>
      </c>
      <c r="B13">
        <v>7</v>
      </c>
      <c r="C13" t="s">
        <v>35</v>
      </c>
      <c r="D13" s="4" t="s">
        <v>181</v>
      </c>
    </row>
    <row r="14" spans="1:4">
      <c r="A14">
        <v>13</v>
      </c>
      <c r="B14">
        <v>8</v>
      </c>
      <c r="C14" t="s">
        <v>171</v>
      </c>
      <c r="D14" s="4" t="s">
        <v>175</v>
      </c>
    </row>
    <row r="15" spans="1:4">
      <c r="A15">
        <v>14</v>
      </c>
      <c r="B15">
        <v>9</v>
      </c>
      <c r="C15" s="2" t="s">
        <v>172</v>
      </c>
      <c r="D15" s="4" t="s">
        <v>173</v>
      </c>
    </row>
    <row r="16" spans="1:4">
      <c r="A16" s="4">
        <v>15</v>
      </c>
      <c r="B16" s="4">
        <v>6</v>
      </c>
      <c r="C16" s="4" t="s">
        <v>117</v>
      </c>
      <c r="D16" s="4" t="s">
        <v>165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C4" sqref="C4"/>
    </sheetView>
  </sheetViews>
  <sheetFormatPr baseColWidth="10" defaultRowHeight="15" x14ac:dyDescent="0"/>
  <cols>
    <col min="2" max="2" width="13.1640625" bestFit="1" customWidth="1"/>
  </cols>
  <sheetData>
    <row r="1" spans="1:2">
      <c r="A1" t="s">
        <v>3</v>
      </c>
      <c r="B1" t="s">
        <v>36</v>
      </c>
    </row>
    <row r="2" spans="1:2">
      <c r="A2">
        <v>1</v>
      </c>
      <c r="B2" t="s">
        <v>37</v>
      </c>
    </row>
    <row r="3" spans="1:2">
      <c r="A3">
        <v>2</v>
      </c>
      <c r="B3" t="s">
        <v>38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6"/>
  <sheetViews>
    <sheetView workbookViewId="0">
      <selection activeCell="D1" sqref="D1"/>
    </sheetView>
  </sheetViews>
  <sheetFormatPr baseColWidth="10" defaultRowHeight="15" x14ac:dyDescent="0"/>
  <cols>
    <col min="4" max="4" width="20" bestFit="1" customWidth="1"/>
    <col min="7" max="7" width="11.83203125" bestFit="1" customWidth="1"/>
  </cols>
  <sheetData>
    <row r="1" spans="1:8">
      <c r="A1" t="s">
        <v>112</v>
      </c>
      <c r="B1" t="s">
        <v>19</v>
      </c>
      <c r="C1" t="s">
        <v>18</v>
      </c>
      <c r="D1" t="s">
        <v>29</v>
      </c>
      <c r="E1" t="s">
        <v>36</v>
      </c>
      <c r="F1" t="s">
        <v>5</v>
      </c>
      <c r="G1" t="s">
        <v>118</v>
      </c>
      <c r="H1" t="s">
        <v>7</v>
      </c>
    </row>
    <row r="2" spans="1:8">
      <c r="A2" t="s">
        <v>83</v>
      </c>
      <c r="B2" t="s">
        <v>113</v>
      </c>
      <c r="C2" t="s">
        <v>20</v>
      </c>
      <c r="D2" t="s">
        <v>159</v>
      </c>
      <c r="E2" t="s">
        <v>37</v>
      </c>
      <c r="F2">
        <v>2010</v>
      </c>
      <c r="G2">
        <v>2.15</v>
      </c>
      <c r="H2">
        <v>1</v>
      </c>
    </row>
    <row r="3" spans="1:8">
      <c r="A3" t="s">
        <v>83</v>
      </c>
      <c r="B3" t="s">
        <v>113</v>
      </c>
      <c r="C3" t="s">
        <v>20</v>
      </c>
      <c r="D3" t="s">
        <v>159</v>
      </c>
      <c r="E3" t="s">
        <v>37</v>
      </c>
      <c r="F3">
        <v>2020</v>
      </c>
      <c r="G3">
        <v>1.48</v>
      </c>
      <c r="H3">
        <v>1</v>
      </c>
    </row>
    <row r="4" spans="1:8">
      <c r="A4" t="s">
        <v>83</v>
      </c>
      <c r="B4" t="s">
        <v>113</v>
      </c>
      <c r="C4" t="s">
        <v>20</v>
      </c>
      <c r="D4" t="s">
        <v>159</v>
      </c>
      <c r="E4" t="s">
        <v>37</v>
      </c>
      <c r="F4">
        <v>2030</v>
      </c>
      <c r="G4">
        <v>1.81</v>
      </c>
      <c r="H4">
        <v>1</v>
      </c>
    </row>
    <row r="5" spans="1:8">
      <c r="A5" t="s">
        <v>83</v>
      </c>
      <c r="B5" t="s">
        <v>113</v>
      </c>
      <c r="C5" t="s">
        <v>20</v>
      </c>
      <c r="D5" t="s">
        <v>159</v>
      </c>
      <c r="E5" t="s">
        <v>37</v>
      </c>
      <c r="F5">
        <v>2040</v>
      </c>
      <c r="G5">
        <v>2.15</v>
      </c>
      <c r="H5">
        <v>1</v>
      </c>
    </row>
    <row r="6" spans="1:8">
      <c r="A6" t="s">
        <v>83</v>
      </c>
      <c r="B6" t="s">
        <v>113</v>
      </c>
      <c r="C6" t="s">
        <v>20</v>
      </c>
      <c r="D6" t="s">
        <v>159</v>
      </c>
      <c r="E6" t="s">
        <v>37</v>
      </c>
      <c r="F6">
        <v>2050</v>
      </c>
      <c r="G6">
        <v>2.2400000000000002</v>
      </c>
      <c r="H6">
        <v>1</v>
      </c>
    </row>
    <row r="7" spans="1:8">
      <c r="A7" t="s">
        <v>83</v>
      </c>
      <c r="B7" t="s">
        <v>113</v>
      </c>
      <c r="C7" t="s">
        <v>20</v>
      </c>
      <c r="D7" t="s">
        <v>159</v>
      </c>
      <c r="E7" t="s">
        <v>37</v>
      </c>
      <c r="F7">
        <v>2060</v>
      </c>
      <c r="G7">
        <v>2.63</v>
      </c>
      <c r="H7">
        <v>1</v>
      </c>
    </row>
    <row r="8" spans="1:8">
      <c r="A8" t="s">
        <v>83</v>
      </c>
      <c r="B8" t="s">
        <v>113</v>
      </c>
      <c r="C8" t="s">
        <v>20</v>
      </c>
      <c r="D8" t="s">
        <v>159</v>
      </c>
      <c r="E8" t="s">
        <v>37</v>
      </c>
      <c r="F8">
        <v>2070</v>
      </c>
      <c r="G8">
        <v>2.83</v>
      </c>
      <c r="H8">
        <v>1</v>
      </c>
    </row>
    <row r="9" spans="1:8">
      <c r="A9" t="s">
        <v>83</v>
      </c>
      <c r="B9" t="s">
        <v>113</v>
      </c>
      <c r="C9" t="s">
        <v>20</v>
      </c>
      <c r="D9" t="s">
        <v>159</v>
      </c>
      <c r="E9" t="s">
        <v>37</v>
      </c>
      <c r="F9">
        <v>2080</v>
      </c>
      <c r="G9">
        <v>1.87</v>
      </c>
      <c r="H9">
        <v>1</v>
      </c>
    </row>
    <row r="10" spans="1:8">
      <c r="A10" t="s">
        <v>83</v>
      </c>
      <c r="B10" t="s">
        <v>113</v>
      </c>
      <c r="C10" t="s">
        <v>20</v>
      </c>
      <c r="D10" t="s">
        <v>159</v>
      </c>
      <c r="E10" t="s">
        <v>37</v>
      </c>
      <c r="F10">
        <v>2090</v>
      </c>
      <c r="G10">
        <v>2.5</v>
      </c>
      <c r="H10">
        <v>1</v>
      </c>
    </row>
    <row r="11" spans="1:8">
      <c r="A11" t="s">
        <v>83</v>
      </c>
      <c r="B11" t="s">
        <v>113</v>
      </c>
      <c r="C11" t="s">
        <v>20</v>
      </c>
      <c r="D11" t="s">
        <v>31</v>
      </c>
      <c r="E11" t="s">
        <v>37</v>
      </c>
      <c r="F11">
        <v>2010</v>
      </c>
      <c r="G11">
        <v>0.64</v>
      </c>
      <c r="H11">
        <v>1</v>
      </c>
    </row>
    <row r="12" spans="1:8">
      <c r="A12" t="s">
        <v>83</v>
      </c>
      <c r="B12" t="s">
        <v>113</v>
      </c>
      <c r="C12" t="s">
        <v>20</v>
      </c>
      <c r="D12" t="s">
        <v>31</v>
      </c>
      <c r="E12" t="s">
        <v>37</v>
      </c>
      <c r="F12">
        <v>2020</v>
      </c>
      <c r="G12">
        <v>0.59</v>
      </c>
      <c r="H12">
        <v>1</v>
      </c>
    </row>
    <row r="13" spans="1:8">
      <c r="A13" t="s">
        <v>83</v>
      </c>
      <c r="B13" t="s">
        <v>113</v>
      </c>
      <c r="C13" t="s">
        <v>20</v>
      </c>
      <c r="D13" t="s">
        <v>31</v>
      </c>
      <c r="E13" t="s">
        <v>37</v>
      </c>
      <c r="F13">
        <v>2030</v>
      </c>
      <c r="G13">
        <v>0.62</v>
      </c>
      <c r="H13">
        <v>1</v>
      </c>
    </row>
    <row r="14" spans="1:8">
      <c r="A14" t="s">
        <v>83</v>
      </c>
      <c r="B14" t="s">
        <v>113</v>
      </c>
      <c r="C14" t="s">
        <v>20</v>
      </c>
      <c r="D14" t="s">
        <v>31</v>
      </c>
      <c r="E14" t="s">
        <v>37</v>
      </c>
      <c r="F14">
        <v>2040</v>
      </c>
      <c r="G14">
        <v>0.68</v>
      </c>
      <c r="H14">
        <v>1</v>
      </c>
    </row>
    <row r="15" spans="1:8">
      <c r="A15" t="s">
        <v>83</v>
      </c>
      <c r="B15" t="s">
        <v>113</v>
      </c>
      <c r="C15" t="s">
        <v>20</v>
      </c>
      <c r="D15" t="s">
        <v>31</v>
      </c>
      <c r="E15" t="s">
        <v>37</v>
      </c>
      <c r="F15">
        <v>2050</v>
      </c>
      <c r="G15">
        <v>1.07</v>
      </c>
      <c r="H15">
        <v>1</v>
      </c>
    </row>
    <row r="16" spans="1:8">
      <c r="A16" t="s">
        <v>83</v>
      </c>
      <c r="B16" t="s">
        <v>113</v>
      </c>
      <c r="C16" t="s">
        <v>20</v>
      </c>
      <c r="D16" t="s">
        <v>31</v>
      </c>
      <c r="E16" t="s">
        <v>37</v>
      </c>
      <c r="F16">
        <v>2060</v>
      </c>
      <c r="G16">
        <v>0.63</v>
      </c>
      <c r="H16">
        <v>1</v>
      </c>
    </row>
    <row r="17" spans="1:8">
      <c r="A17" t="s">
        <v>83</v>
      </c>
      <c r="B17" t="s">
        <v>113</v>
      </c>
      <c r="C17" t="s">
        <v>20</v>
      </c>
      <c r="D17" t="s">
        <v>31</v>
      </c>
      <c r="E17" t="s">
        <v>37</v>
      </c>
      <c r="F17">
        <v>2070</v>
      </c>
      <c r="G17">
        <v>1.18</v>
      </c>
      <c r="H17">
        <v>1</v>
      </c>
    </row>
    <row r="18" spans="1:8">
      <c r="A18" t="s">
        <v>83</v>
      </c>
      <c r="B18" t="s">
        <v>113</v>
      </c>
      <c r="C18" t="s">
        <v>20</v>
      </c>
      <c r="D18" t="s">
        <v>31</v>
      </c>
      <c r="E18" t="s">
        <v>37</v>
      </c>
      <c r="F18">
        <v>2080</v>
      </c>
      <c r="G18">
        <v>1.1499999999999999</v>
      </c>
      <c r="H18">
        <v>1</v>
      </c>
    </row>
    <row r="19" spans="1:8">
      <c r="A19" t="s">
        <v>83</v>
      </c>
      <c r="B19" t="s">
        <v>113</v>
      </c>
      <c r="C19" t="s">
        <v>20</v>
      </c>
      <c r="D19" t="s">
        <v>31</v>
      </c>
      <c r="E19" t="s">
        <v>37</v>
      </c>
      <c r="F19">
        <v>2090</v>
      </c>
      <c r="G19">
        <v>1.21</v>
      </c>
      <c r="H19">
        <v>1</v>
      </c>
    </row>
    <row r="20" spans="1:8">
      <c r="A20" t="s">
        <v>83</v>
      </c>
      <c r="B20" t="s">
        <v>113</v>
      </c>
      <c r="C20" t="s">
        <v>23</v>
      </c>
      <c r="D20" t="s">
        <v>158</v>
      </c>
      <c r="E20" t="s">
        <v>37</v>
      </c>
      <c r="F20">
        <v>2010</v>
      </c>
      <c r="G20">
        <v>1.92</v>
      </c>
      <c r="H20">
        <v>1</v>
      </c>
    </row>
    <row r="21" spans="1:8">
      <c r="A21" t="s">
        <v>83</v>
      </c>
      <c r="B21" t="s">
        <v>113</v>
      </c>
      <c r="C21" t="s">
        <v>23</v>
      </c>
      <c r="D21" t="s">
        <v>158</v>
      </c>
      <c r="E21" t="s">
        <v>37</v>
      </c>
      <c r="F21">
        <v>2020</v>
      </c>
      <c r="G21">
        <v>1.7</v>
      </c>
      <c r="H21">
        <v>1</v>
      </c>
    </row>
    <row r="22" spans="1:8">
      <c r="A22" t="s">
        <v>83</v>
      </c>
      <c r="B22" t="s">
        <v>113</v>
      </c>
      <c r="C22" t="s">
        <v>23</v>
      </c>
      <c r="D22" t="s">
        <v>158</v>
      </c>
      <c r="E22" t="s">
        <v>37</v>
      </c>
      <c r="F22">
        <v>2030</v>
      </c>
      <c r="G22">
        <v>1.45</v>
      </c>
      <c r="H22">
        <v>1</v>
      </c>
    </row>
    <row r="23" spans="1:8">
      <c r="A23" t="s">
        <v>83</v>
      </c>
      <c r="B23" t="s">
        <v>113</v>
      </c>
      <c r="C23" t="s">
        <v>23</v>
      </c>
      <c r="D23" t="s">
        <v>158</v>
      </c>
      <c r="E23" t="s">
        <v>37</v>
      </c>
      <c r="F23">
        <v>2040</v>
      </c>
      <c r="G23">
        <v>1.69</v>
      </c>
      <c r="H23">
        <v>1</v>
      </c>
    </row>
    <row r="24" spans="1:8">
      <c r="A24" t="s">
        <v>83</v>
      </c>
      <c r="B24" t="s">
        <v>113</v>
      </c>
      <c r="C24" t="s">
        <v>23</v>
      </c>
      <c r="D24" t="s">
        <v>158</v>
      </c>
      <c r="E24" t="s">
        <v>37</v>
      </c>
      <c r="F24">
        <v>2050</v>
      </c>
      <c r="G24">
        <v>1.49</v>
      </c>
      <c r="H24">
        <v>1</v>
      </c>
    </row>
    <row r="25" spans="1:8">
      <c r="A25" t="s">
        <v>83</v>
      </c>
      <c r="B25" t="s">
        <v>113</v>
      </c>
      <c r="C25" t="s">
        <v>23</v>
      </c>
      <c r="D25" t="s">
        <v>158</v>
      </c>
      <c r="E25" t="s">
        <v>37</v>
      </c>
      <c r="F25">
        <v>2060</v>
      </c>
      <c r="G25">
        <v>1.48</v>
      </c>
      <c r="H25">
        <v>1</v>
      </c>
    </row>
    <row r="26" spans="1:8">
      <c r="A26" t="s">
        <v>83</v>
      </c>
      <c r="B26" t="s">
        <v>113</v>
      </c>
      <c r="C26" t="s">
        <v>23</v>
      </c>
      <c r="D26" t="s">
        <v>158</v>
      </c>
      <c r="E26" t="s">
        <v>37</v>
      </c>
      <c r="F26">
        <v>2070</v>
      </c>
      <c r="G26">
        <v>2.4900000000000002</v>
      </c>
      <c r="H26">
        <v>1</v>
      </c>
    </row>
    <row r="27" spans="1:8">
      <c r="A27" t="s">
        <v>83</v>
      </c>
      <c r="B27" t="s">
        <v>113</v>
      </c>
      <c r="C27" t="s">
        <v>23</v>
      </c>
      <c r="D27" t="s">
        <v>158</v>
      </c>
      <c r="E27" t="s">
        <v>37</v>
      </c>
      <c r="F27">
        <v>2080</v>
      </c>
      <c r="G27">
        <v>1.49</v>
      </c>
      <c r="H27">
        <v>1</v>
      </c>
    </row>
    <row r="28" spans="1:8">
      <c r="A28" t="s">
        <v>83</v>
      </c>
      <c r="B28" t="s">
        <v>113</v>
      </c>
      <c r="C28" t="s">
        <v>23</v>
      </c>
      <c r="D28" t="s">
        <v>158</v>
      </c>
      <c r="E28" t="s">
        <v>37</v>
      </c>
      <c r="F28">
        <v>2090</v>
      </c>
      <c r="G28">
        <v>2.6</v>
      </c>
      <c r="H28">
        <v>1</v>
      </c>
    </row>
    <row r="29" spans="1:8">
      <c r="A29" t="s">
        <v>83</v>
      </c>
      <c r="B29" t="s">
        <v>114</v>
      </c>
      <c r="C29" t="s">
        <v>25</v>
      </c>
      <c r="D29" t="s">
        <v>115</v>
      </c>
      <c r="E29" t="s">
        <v>37</v>
      </c>
      <c r="F29">
        <v>2010</v>
      </c>
      <c r="G29">
        <v>0</v>
      </c>
      <c r="H29">
        <v>1</v>
      </c>
    </row>
    <row r="30" spans="1:8">
      <c r="A30" t="s">
        <v>83</v>
      </c>
      <c r="B30" t="s">
        <v>114</v>
      </c>
      <c r="C30" t="s">
        <v>25</v>
      </c>
      <c r="D30" t="s">
        <v>115</v>
      </c>
      <c r="E30" t="s">
        <v>37</v>
      </c>
      <c r="F30">
        <v>2020</v>
      </c>
      <c r="G30">
        <v>0</v>
      </c>
      <c r="H30">
        <v>1</v>
      </c>
    </row>
    <row r="31" spans="1:8">
      <c r="A31" t="s">
        <v>83</v>
      </c>
      <c r="B31" t="s">
        <v>114</v>
      </c>
      <c r="C31" t="s">
        <v>25</v>
      </c>
      <c r="D31" t="s">
        <v>115</v>
      </c>
      <c r="E31" t="s">
        <v>37</v>
      </c>
      <c r="F31">
        <v>2030</v>
      </c>
      <c r="G31">
        <v>1.2943</v>
      </c>
      <c r="H31">
        <v>1</v>
      </c>
    </row>
    <row r="32" spans="1:8">
      <c r="A32" t="s">
        <v>83</v>
      </c>
      <c r="B32" t="s">
        <v>114</v>
      </c>
      <c r="C32" t="s">
        <v>25</v>
      </c>
      <c r="D32" t="s">
        <v>115</v>
      </c>
      <c r="E32" t="s">
        <v>37</v>
      </c>
      <c r="F32">
        <v>2040</v>
      </c>
      <c r="G32">
        <v>1.1959</v>
      </c>
      <c r="H32">
        <v>1</v>
      </c>
    </row>
    <row r="33" spans="1:8">
      <c r="A33" t="s">
        <v>83</v>
      </c>
      <c r="B33" t="s">
        <v>114</v>
      </c>
      <c r="C33" t="s">
        <v>25</v>
      </c>
      <c r="D33" t="s">
        <v>115</v>
      </c>
      <c r="E33" t="s">
        <v>37</v>
      </c>
      <c r="F33">
        <v>2050</v>
      </c>
      <c r="G33">
        <v>0.81699999999999995</v>
      </c>
      <c r="H33">
        <v>1</v>
      </c>
    </row>
    <row r="34" spans="1:8">
      <c r="A34" t="s">
        <v>83</v>
      </c>
      <c r="B34" t="s">
        <v>114</v>
      </c>
      <c r="C34" t="s">
        <v>25</v>
      </c>
      <c r="D34" t="s">
        <v>115</v>
      </c>
      <c r="E34" t="s">
        <v>37</v>
      </c>
      <c r="F34">
        <v>2060</v>
      </c>
      <c r="G34">
        <v>3.3868</v>
      </c>
      <c r="H34">
        <v>1</v>
      </c>
    </row>
    <row r="35" spans="1:8">
      <c r="A35" t="s">
        <v>83</v>
      </c>
      <c r="B35" t="s">
        <v>114</v>
      </c>
      <c r="C35" t="s">
        <v>25</v>
      </c>
      <c r="D35" t="s">
        <v>115</v>
      </c>
      <c r="E35" t="s">
        <v>37</v>
      </c>
      <c r="F35">
        <v>2070</v>
      </c>
      <c r="G35">
        <v>6.0183999999999997</v>
      </c>
      <c r="H35">
        <v>1</v>
      </c>
    </row>
    <row r="36" spans="1:8">
      <c r="A36" t="s">
        <v>83</v>
      </c>
      <c r="B36" t="s">
        <v>114</v>
      </c>
      <c r="C36" t="s">
        <v>25</v>
      </c>
      <c r="D36" t="s">
        <v>115</v>
      </c>
      <c r="E36" t="s">
        <v>37</v>
      </c>
      <c r="F36">
        <v>2080</v>
      </c>
      <c r="G36">
        <v>10.598800000000001</v>
      </c>
      <c r="H36">
        <v>1</v>
      </c>
    </row>
    <row r="37" spans="1:8">
      <c r="A37" t="s">
        <v>83</v>
      </c>
      <c r="B37" t="s">
        <v>114</v>
      </c>
      <c r="C37" t="s">
        <v>25</v>
      </c>
      <c r="D37" t="s">
        <v>115</v>
      </c>
      <c r="E37" t="s">
        <v>37</v>
      </c>
      <c r="F37">
        <v>2090</v>
      </c>
      <c r="G37">
        <v>16.578199999999999</v>
      </c>
      <c r="H37">
        <v>1</v>
      </c>
    </row>
    <row r="38" spans="1:8">
      <c r="A38" t="s">
        <v>83</v>
      </c>
      <c r="B38" t="s">
        <v>114</v>
      </c>
      <c r="C38" t="s">
        <v>25</v>
      </c>
      <c r="D38" t="s">
        <v>116</v>
      </c>
      <c r="E38" t="s">
        <v>37</v>
      </c>
      <c r="F38">
        <v>2010</v>
      </c>
      <c r="G38">
        <v>0</v>
      </c>
      <c r="H38">
        <v>1</v>
      </c>
    </row>
    <row r="39" spans="1:8">
      <c r="A39" t="s">
        <v>83</v>
      </c>
      <c r="B39" t="s">
        <v>114</v>
      </c>
      <c r="C39" t="s">
        <v>25</v>
      </c>
      <c r="D39" t="s">
        <v>116</v>
      </c>
      <c r="E39" t="s">
        <v>37</v>
      </c>
      <c r="F39">
        <v>2020</v>
      </c>
      <c r="G39">
        <v>0</v>
      </c>
      <c r="H39">
        <v>1</v>
      </c>
    </row>
    <row r="40" spans="1:8">
      <c r="A40" t="s">
        <v>83</v>
      </c>
      <c r="B40" t="s">
        <v>114</v>
      </c>
      <c r="C40" t="s">
        <v>25</v>
      </c>
      <c r="D40" t="s">
        <v>116</v>
      </c>
      <c r="E40" t="s">
        <v>37</v>
      </c>
      <c r="F40">
        <v>2030</v>
      </c>
      <c r="G40">
        <v>0</v>
      </c>
      <c r="H40">
        <v>1</v>
      </c>
    </row>
    <row r="41" spans="1:8">
      <c r="A41" t="s">
        <v>83</v>
      </c>
      <c r="B41" t="s">
        <v>114</v>
      </c>
      <c r="C41" t="s">
        <v>25</v>
      </c>
      <c r="D41" t="s">
        <v>116</v>
      </c>
      <c r="E41" t="s">
        <v>37</v>
      </c>
      <c r="F41">
        <v>2040</v>
      </c>
      <c r="G41">
        <v>0</v>
      </c>
      <c r="H41">
        <v>1</v>
      </c>
    </row>
    <row r="42" spans="1:8">
      <c r="A42" t="s">
        <v>83</v>
      </c>
      <c r="B42" t="s">
        <v>114</v>
      </c>
      <c r="C42" t="s">
        <v>25</v>
      </c>
      <c r="D42" t="s">
        <v>116</v>
      </c>
      <c r="E42" t="s">
        <v>37</v>
      </c>
      <c r="F42">
        <v>2050</v>
      </c>
      <c r="G42">
        <v>0</v>
      </c>
      <c r="H42">
        <v>1</v>
      </c>
    </row>
    <row r="43" spans="1:8">
      <c r="A43" t="s">
        <v>83</v>
      </c>
      <c r="B43" t="s">
        <v>114</v>
      </c>
      <c r="C43" t="s">
        <v>25</v>
      </c>
      <c r="D43" t="s">
        <v>116</v>
      </c>
      <c r="E43" t="s">
        <v>37</v>
      </c>
      <c r="F43">
        <v>2060</v>
      </c>
      <c r="G43">
        <v>0</v>
      </c>
      <c r="H43">
        <v>1</v>
      </c>
    </row>
    <row r="44" spans="1:8">
      <c r="A44" t="s">
        <v>83</v>
      </c>
      <c r="B44" t="s">
        <v>114</v>
      </c>
      <c r="C44" t="s">
        <v>25</v>
      </c>
      <c r="D44" t="s">
        <v>116</v>
      </c>
      <c r="E44" t="s">
        <v>37</v>
      </c>
      <c r="F44">
        <v>2070</v>
      </c>
      <c r="G44">
        <v>0</v>
      </c>
      <c r="H44">
        <v>1</v>
      </c>
    </row>
    <row r="45" spans="1:8">
      <c r="A45" t="s">
        <v>83</v>
      </c>
      <c r="B45" t="s">
        <v>114</v>
      </c>
      <c r="C45" t="s">
        <v>25</v>
      </c>
      <c r="D45" t="s">
        <v>116</v>
      </c>
      <c r="E45" t="s">
        <v>37</v>
      </c>
      <c r="F45">
        <v>2080</v>
      </c>
      <c r="G45">
        <v>0</v>
      </c>
      <c r="H45">
        <v>1</v>
      </c>
    </row>
    <row r="46" spans="1:8">
      <c r="A46" t="s">
        <v>83</v>
      </c>
      <c r="B46" t="s">
        <v>114</v>
      </c>
      <c r="C46" t="s">
        <v>25</v>
      </c>
      <c r="D46" t="s">
        <v>116</v>
      </c>
      <c r="E46" t="s">
        <v>37</v>
      </c>
      <c r="F46">
        <v>2090</v>
      </c>
      <c r="G46">
        <v>0</v>
      </c>
      <c r="H46">
        <v>1</v>
      </c>
    </row>
    <row r="47" spans="1:8">
      <c r="A47" t="s">
        <v>83</v>
      </c>
      <c r="B47" t="s">
        <v>114</v>
      </c>
      <c r="C47" t="s">
        <v>25</v>
      </c>
      <c r="D47" t="s">
        <v>117</v>
      </c>
      <c r="E47" t="s">
        <v>37</v>
      </c>
      <c r="F47">
        <v>2010</v>
      </c>
      <c r="G47">
        <v>30</v>
      </c>
      <c r="H47">
        <v>1</v>
      </c>
    </row>
    <row r="48" spans="1:8">
      <c r="A48" t="s">
        <v>83</v>
      </c>
      <c r="B48" t="s">
        <v>114</v>
      </c>
      <c r="C48" t="s">
        <v>25</v>
      </c>
      <c r="D48" t="s">
        <v>117</v>
      </c>
      <c r="E48" t="s">
        <v>37</v>
      </c>
      <c r="F48">
        <v>2020</v>
      </c>
      <c r="G48">
        <v>0</v>
      </c>
      <c r="H48">
        <v>1</v>
      </c>
    </row>
    <row r="49" spans="1:8">
      <c r="A49" t="s">
        <v>83</v>
      </c>
      <c r="B49" t="s">
        <v>114</v>
      </c>
      <c r="C49" t="s">
        <v>25</v>
      </c>
      <c r="D49" t="s">
        <v>117</v>
      </c>
      <c r="E49" t="s">
        <v>37</v>
      </c>
      <c r="F49">
        <v>2030</v>
      </c>
      <c r="G49">
        <v>5</v>
      </c>
      <c r="H49">
        <v>1</v>
      </c>
    </row>
    <row r="50" spans="1:8">
      <c r="A50" t="s">
        <v>83</v>
      </c>
      <c r="B50" t="s">
        <v>114</v>
      </c>
      <c r="C50" t="s">
        <v>25</v>
      </c>
      <c r="D50" t="s">
        <v>117</v>
      </c>
      <c r="E50" t="s">
        <v>37</v>
      </c>
      <c r="F50">
        <v>2040</v>
      </c>
      <c r="G50">
        <v>40</v>
      </c>
      <c r="H50">
        <v>1</v>
      </c>
    </row>
    <row r="51" spans="1:8">
      <c r="A51" t="s">
        <v>83</v>
      </c>
      <c r="B51" t="s">
        <v>114</v>
      </c>
      <c r="C51" t="s">
        <v>25</v>
      </c>
      <c r="D51" t="s">
        <v>117</v>
      </c>
      <c r="E51" t="s">
        <v>37</v>
      </c>
      <c r="F51">
        <v>2050</v>
      </c>
      <c r="G51">
        <v>30</v>
      </c>
      <c r="H51">
        <v>1</v>
      </c>
    </row>
    <row r="52" spans="1:8">
      <c r="A52" t="s">
        <v>83</v>
      </c>
      <c r="B52" t="s">
        <v>114</v>
      </c>
      <c r="C52" t="s">
        <v>25</v>
      </c>
      <c r="D52" t="s">
        <v>117</v>
      </c>
      <c r="E52" t="s">
        <v>37</v>
      </c>
      <c r="F52">
        <v>2060</v>
      </c>
      <c r="G52">
        <v>50</v>
      </c>
      <c r="H52">
        <v>1</v>
      </c>
    </row>
    <row r="53" spans="1:8">
      <c r="A53" t="s">
        <v>83</v>
      </c>
      <c r="B53" t="s">
        <v>114</v>
      </c>
      <c r="C53" t="s">
        <v>25</v>
      </c>
      <c r="D53" t="s">
        <v>117</v>
      </c>
      <c r="E53" t="s">
        <v>37</v>
      </c>
      <c r="F53">
        <v>2070</v>
      </c>
      <c r="G53">
        <v>60</v>
      </c>
      <c r="H53">
        <v>1</v>
      </c>
    </row>
    <row r="54" spans="1:8">
      <c r="A54" t="s">
        <v>83</v>
      </c>
      <c r="B54" t="s">
        <v>114</v>
      </c>
      <c r="C54" t="s">
        <v>25</v>
      </c>
      <c r="D54" t="s">
        <v>117</v>
      </c>
      <c r="E54" t="s">
        <v>37</v>
      </c>
      <c r="F54">
        <v>2080</v>
      </c>
      <c r="G54">
        <v>50</v>
      </c>
      <c r="H54">
        <v>1</v>
      </c>
    </row>
    <row r="55" spans="1:8">
      <c r="A55" t="s">
        <v>83</v>
      </c>
      <c r="B55" t="s">
        <v>114</v>
      </c>
      <c r="C55" t="s">
        <v>25</v>
      </c>
      <c r="D55" t="s">
        <v>117</v>
      </c>
      <c r="E55" t="s">
        <v>37</v>
      </c>
      <c r="F55">
        <v>2090</v>
      </c>
      <c r="G55">
        <v>40</v>
      </c>
      <c r="H55">
        <v>1</v>
      </c>
    </row>
    <row r="56" spans="1:8">
      <c r="A56" t="s">
        <v>84</v>
      </c>
      <c r="B56" t="s">
        <v>113</v>
      </c>
      <c r="C56" t="s">
        <v>20</v>
      </c>
      <c r="D56" t="s">
        <v>159</v>
      </c>
      <c r="E56" t="s">
        <v>37</v>
      </c>
      <c r="F56">
        <v>2010</v>
      </c>
      <c r="G56">
        <v>1.42</v>
      </c>
      <c r="H56">
        <v>1</v>
      </c>
    </row>
    <row r="57" spans="1:8">
      <c r="A57" t="s">
        <v>84</v>
      </c>
      <c r="B57" t="s">
        <v>113</v>
      </c>
      <c r="C57" t="s">
        <v>20</v>
      </c>
      <c r="D57" t="s">
        <v>159</v>
      </c>
      <c r="E57" t="s">
        <v>37</v>
      </c>
      <c r="F57">
        <v>2020</v>
      </c>
      <c r="G57">
        <v>1.32</v>
      </c>
      <c r="H57">
        <v>1</v>
      </c>
    </row>
    <row r="58" spans="1:8">
      <c r="A58" t="s">
        <v>84</v>
      </c>
      <c r="B58" t="s">
        <v>113</v>
      </c>
      <c r="C58" t="s">
        <v>20</v>
      </c>
      <c r="D58" t="s">
        <v>159</v>
      </c>
      <c r="E58" t="s">
        <v>37</v>
      </c>
      <c r="F58">
        <v>2030</v>
      </c>
      <c r="G58">
        <v>2.11</v>
      </c>
      <c r="H58">
        <v>1</v>
      </c>
    </row>
    <row r="59" spans="1:8">
      <c r="A59" t="s">
        <v>84</v>
      </c>
      <c r="B59" t="s">
        <v>113</v>
      </c>
      <c r="C59" t="s">
        <v>20</v>
      </c>
      <c r="D59" t="s">
        <v>159</v>
      </c>
      <c r="E59" t="s">
        <v>37</v>
      </c>
      <c r="F59">
        <v>2040</v>
      </c>
      <c r="G59">
        <v>2.5</v>
      </c>
      <c r="H59">
        <v>1</v>
      </c>
    </row>
    <row r="60" spans="1:8">
      <c r="A60" t="s">
        <v>84</v>
      </c>
      <c r="B60" t="s">
        <v>113</v>
      </c>
      <c r="C60" t="s">
        <v>20</v>
      </c>
      <c r="D60" t="s">
        <v>159</v>
      </c>
      <c r="E60" t="s">
        <v>37</v>
      </c>
      <c r="F60">
        <v>2050</v>
      </c>
      <c r="G60">
        <v>1.83</v>
      </c>
      <c r="H60">
        <v>1</v>
      </c>
    </row>
    <row r="61" spans="1:8">
      <c r="A61" t="s">
        <v>84</v>
      </c>
      <c r="B61" t="s">
        <v>113</v>
      </c>
      <c r="C61" t="s">
        <v>20</v>
      </c>
      <c r="D61" t="s">
        <v>159</v>
      </c>
      <c r="E61" t="s">
        <v>37</v>
      </c>
      <c r="F61">
        <v>2060</v>
      </c>
      <c r="G61">
        <v>2.0299999999999998</v>
      </c>
      <c r="H61">
        <v>1</v>
      </c>
    </row>
    <row r="62" spans="1:8">
      <c r="A62" t="s">
        <v>84</v>
      </c>
      <c r="B62" t="s">
        <v>113</v>
      </c>
      <c r="C62" t="s">
        <v>20</v>
      </c>
      <c r="D62" t="s">
        <v>159</v>
      </c>
      <c r="E62" t="s">
        <v>37</v>
      </c>
      <c r="F62">
        <v>2070</v>
      </c>
      <c r="G62">
        <v>2.31</v>
      </c>
      <c r="H62">
        <v>1</v>
      </c>
    </row>
    <row r="63" spans="1:8">
      <c r="A63" t="s">
        <v>84</v>
      </c>
      <c r="B63" t="s">
        <v>113</v>
      </c>
      <c r="C63" t="s">
        <v>20</v>
      </c>
      <c r="D63" t="s">
        <v>159</v>
      </c>
      <c r="E63" t="s">
        <v>37</v>
      </c>
      <c r="F63">
        <v>2080</v>
      </c>
      <c r="G63">
        <v>2.1800000000000002</v>
      </c>
      <c r="H63">
        <v>1</v>
      </c>
    </row>
    <row r="64" spans="1:8">
      <c r="A64" t="s">
        <v>84</v>
      </c>
      <c r="B64" t="s">
        <v>113</v>
      </c>
      <c r="C64" t="s">
        <v>20</v>
      </c>
      <c r="D64" t="s">
        <v>159</v>
      </c>
      <c r="E64" t="s">
        <v>37</v>
      </c>
      <c r="F64">
        <v>2090</v>
      </c>
      <c r="G64">
        <v>2.97</v>
      </c>
      <c r="H64">
        <v>1</v>
      </c>
    </row>
    <row r="65" spans="1:8">
      <c r="A65" t="s">
        <v>84</v>
      </c>
      <c r="B65" t="s">
        <v>113</v>
      </c>
      <c r="C65" t="s">
        <v>20</v>
      </c>
      <c r="D65" t="s">
        <v>31</v>
      </c>
      <c r="E65" t="s">
        <v>37</v>
      </c>
      <c r="F65">
        <v>2010</v>
      </c>
      <c r="G65">
        <v>0.5</v>
      </c>
      <c r="H65">
        <v>1</v>
      </c>
    </row>
    <row r="66" spans="1:8">
      <c r="A66" t="s">
        <v>84</v>
      </c>
      <c r="B66" t="s">
        <v>113</v>
      </c>
      <c r="C66" t="s">
        <v>20</v>
      </c>
      <c r="D66" t="s">
        <v>31</v>
      </c>
      <c r="E66" t="s">
        <v>37</v>
      </c>
      <c r="F66">
        <v>2020</v>
      </c>
      <c r="G66">
        <v>0.73</v>
      </c>
      <c r="H66">
        <v>1</v>
      </c>
    </row>
    <row r="67" spans="1:8">
      <c r="A67" t="s">
        <v>84</v>
      </c>
      <c r="B67" t="s">
        <v>113</v>
      </c>
      <c r="C67" t="s">
        <v>20</v>
      </c>
      <c r="D67" t="s">
        <v>31</v>
      </c>
      <c r="E67" t="s">
        <v>37</v>
      </c>
      <c r="F67">
        <v>2030</v>
      </c>
      <c r="G67">
        <v>0.53</v>
      </c>
      <c r="H67">
        <v>1</v>
      </c>
    </row>
    <row r="68" spans="1:8">
      <c r="A68" t="s">
        <v>84</v>
      </c>
      <c r="B68" t="s">
        <v>113</v>
      </c>
      <c r="C68" t="s">
        <v>20</v>
      </c>
      <c r="D68" t="s">
        <v>31</v>
      </c>
      <c r="E68" t="s">
        <v>37</v>
      </c>
      <c r="F68">
        <v>2040</v>
      </c>
      <c r="G68">
        <v>0.88</v>
      </c>
      <c r="H68">
        <v>1</v>
      </c>
    </row>
    <row r="69" spans="1:8">
      <c r="A69" t="s">
        <v>84</v>
      </c>
      <c r="B69" t="s">
        <v>113</v>
      </c>
      <c r="C69" t="s">
        <v>20</v>
      </c>
      <c r="D69" t="s">
        <v>31</v>
      </c>
      <c r="E69" t="s">
        <v>37</v>
      </c>
      <c r="F69">
        <v>2050</v>
      </c>
      <c r="G69">
        <v>0.72</v>
      </c>
      <c r="H69">
        <v>1</v>
      </c>
    </row>
    <row r="70" spans="1:8">
      <c r="A70" t="s">
        <v>84</v>
      </c>
      <c r="B70" t="s">
        <v>113</v>
      </c>
      <c r="C70" t="s">
        <v>20</v>
      </c>
      <c r="D70" t="s">
        <v>31</v>
      </c>
      <c r="E70" t="s">
        <v>37</v>
      </c>
      <c r="F70">
        <v>2060</v>
      </c>
      <c r="G70">
        <v>1.1499999999999999</v>
      </c>
      <c r="H70">
        <v>1</v>
      </c>
    </row>
    <row r="71" spans="1:8">
      <c r="A71" t="s">
        <v>84</v>
      </c>
      <c r="B71" t="s">
        <v>113</v>
      </c>
      <c r="C71" t="s">
        <v>20</v>
      </c>
      <c r="D71" t="s">
        <v>31</v>
      </c>
      <c r="E71" t="s">
        <v>37</v>
      </c>
      <c r="F71">
        <v>2070</v>
      </c>
      <c r="G71">
        <v>1.04</v>
      </c>
      <c r="H71">
        <v>1</v>
      </c>
    </row>
    <row r="72" spans="1:8">
      <c r="A72" t="s">
        <v>84</v>
      </c>
      <c r="B72" t="s">
        <v>113</v>
      </c>
      <c r="C72" t="s">
        <v>20</v>
      </c>
      <c r="D72" t="s">
        <v>31</v>
      </c>
      <c r="E72" t="s">
        <v>37</v>
      </c>
      <c r="F72">
        <v>2080</v>
      </c>
      <c r="G72">
        <v>0.98</v>
      </c>
      <c r="H72">
        <v>1</v>
      </c>
    </row>
    <row r="73" spans="1:8">
      <c r="A73" t="s">
        <v>84</v>
      </c>
      <c r="B73" t="s">
        <v>113</v>
      </c>
      <c r="C73" t="s">
        <v>20</v>
      </c>
      <c r="D73" t="s">
        <v>31</v>
      </c>
      <c r="E73" t="s">
        <v>37</v>
      </c>
      <c r="F73">
        <v>2090</v>
      </c>
      <c r="G73">
        <v>0.96</v>
      </c>
      <c r="H73">
        <v>1</v>
      </c>
    </row>
    <row r="74" spans="1:8">
      <c r="A74" t="s">
        <v>84</v>
      </c>
      <c r="B74" t="s">
        <v>113</v>
      </c>
      <c r="C74" t="s">
        <v>23</v>
      </c>
      <c r="D74" t="s">
        <v>158</v>
      </c>
      <c r="E74" t="s">
        <v>37</v>
      </c>
      <c r="F74">
        <v>2010</v>
      </c>
      <c r="G74">
        <v>1.94</v>
      </c>
      <c r="H74">
        <v>1</v>
      </c>
    </row>
    <row r="75" spans="1:8">
      <c r="A75" t="s">
        <v>84</v>
      </c>
      <c r="B75" t="s">
        <v>113</v>
      </c>
      <c r="C75" t="s">
        <v>23</v>
      </c>
      <c r="D75" t="s">
        <v>158</v>
      </c>
      <c r="E75" t="s">
        <v>37</v>
      </c>
      <c r="F75">
        <v>2020</v>
      </c>
      <c r="G75">
        <v>1.62</v>
      </c>
      <c r="H75">
        <v>1</v>
      </c>
    </row>
    <row r="76" spans="1:8">
      <c r="A76" t="s">
        <v>84</v>
      </c>
      <c r="B76" t="s">
        <v>113</v>
      </c>
      <c r="C76" t="s">
        <v>23</v>
      </c>
      <c r="D76" t="s">
        <v>158</v>
      </c>
      <c r="E76" t="s">
        <v>37</v>
      </c>
      <c r="F76">
        <v>2030</v>
      </c>
      <c r="G76">
        <v>2.15</v>
      </c>
      <c r="H76">
        <v>1</v>
      </c>
    </row>
    <row r="77" spans="1:8">
      <c r="A77" t="s">
        <v>84</v>
      </c>
      <c r="B77" t="s">
        <v>113</v>
      </c>
      <c r="C77" t="s">
        <v>23</v>
      </c>
      <c r="D77" t="s">
        <v>158</v>
      </c>
      <c r="E77" t="s">
        <v>37</v>
      </c>
      <c r="F77">
        <v>2040</v>
      </c>
      <c r="G77">
        <v>2.0299999999999998</v>
      </c>
      <c r="H77">
        <v>1</v>
      </c>
    </row>
    <row r="78" spans="1:8">
      <c r="A78" t="s">
        <v>84</v>
      </c>
      <c r="B78" t="s">
        <v>113</v>
      </c>
      <c r="C78" t="s">
        <v>23</v>
      </c>
      <c r="D78" t="s">
        <v>158</v>
      </c>
      <c r="E78" t="s">
        <v>37</v>
      </c>
      <c r="F78">
        <v>2050</v>
      </c>
      <c r="G78">
        <v>1.89</v>
      </c>
      <c r="H78">
        <v>1</v>
      </c>
    </row>
    <row r="79" spans="1:8">
      <c r="A79" t="s">
        <v>84</v>
      </c>
      <c r="B79" t="s">
        <v>113</v>
      </c>
      <c r="C79" t="s">
        <v>23</v>
      </c>
      <c r="D79" t="s">
        <v>158</v>
      </c>
      <c r="E79" t="s">
        <v>37</v>
      </c>
      <c r="F79">
        <v>2060</v>
      </c>
      <c r="G79">
        <v>1.48</v>
      </c>
      <c r="H79">
        <v>1</v>
      </c>
    </row>
    <row r="80" spans="1:8">
      <c r="A80" t="s">
        <v>84</v>
      </c>
      <c r="B80" t="s">
        <v>113</v>
      </c>
      <c r="C80" t="s">
        <v>23</v>
      </c>
      <c r="D80" t="s">
        <v>158</v>
      </c>
      <c r="E80" t="s">
        <v>37</v>
      </c>
      <c r="F80">
        <v>2070</v>
      </c>
      <c r="G80">
        <v>2.0699999999999998</v>
      </c>
      <c r="H80">
        <v>1</v>
      </c>
    </row>
    <row r="81" spans="1:8">
      <c r="A81" t="s">
        <v>84</v>
      </c>
      <c r="B81" t="s">
        <v>113</v>
      </c>
      <c r="C81" t="s">
        <v>23</v>
      </c>
      <c r="D81" t="s">
        <v>158</v>
      </c>
      <c r="E81" t="s">
        <v>37</v>
      </c>
      <c r="F81">
        <v>2080</v>
      </c>
      <c r="G81">
        <v>2.5</v>
      </c>
      <c r="H81">
        <v>1</v>
      </c>
    </row>
    <row r="82" spans="1:8">
      <c r="A82" t="s">
        <v>84</v>
      </c>
      <c r="B82" t="s">
        <v>113</v>
      </c>
      <c r="C82" t="s">
        <v>23</v>
      </c>
      <c r="D82" t="s">
        <v>158</v>
      </c>
      <c r="E82" t="s">
        <v>37</v>
      </c>
      <c r="F82">
        <v>2090</v>
      </c>
      <c r="G82">
        <v>2.68</v>
      </c>
      <c r="H82">
        <v>1</v>
      </c>
    </row>
    <row r="83" spans="1:8">
      <c r="A83" t="s">
        <v>84</v>
      </c>
      <c r="B83" t="s">
        <v>114</v>
      </c>
      <c r="C83" t="s">
        <v>25</v>
      </c>
      <c r="D83" t="s">
        <v>115</v>
      </c>
      <c r="E83" t="s">
        <v>37</v>
      </c>
      <c r="F83">
        <v>2010</v>
      </c>
      <c r="G83">
        <v>7.5559000000000003</v>
      </c>
      <c r="H83">
        <v>1</v>
      </c>
    </row>
    <row r="84" spans="1:8">
      <c r="A84" t="s">
        <v>84</v>
      </c>
      <c r="B84" t="s">
        <v>114</v>
      </c>
      <c r="C84" t="s">
        <v>25</v>
      </c>
      <c r="D84" t="s">
        <v>115</v>
      </c>
      <c r="E84" t="s">
        <v>37</v>
      </c>
      <c r="F84">
        <v>2020</v>
      </c>
      <c r="G84">
        <v>4.5683999999999996</v>
      </c>
      <c r="H84">
        <v>1</v>
      </c>
    </row>
    <row r="85" spans="1:8">
      <c r="A85" t="s">
        <v>84</v>
      </c>
      <c r="B85" t="s">
        <v>114</v>
      </c>
      <c r="C85" t="s">
        <v>25</v>
      </c>
      <c r="D85" t="s">
        <v>115</v>
      </c>
      <c r="E85" t="s">
        <v>37</v>
      </c>
      <c r="F85">
        <v>2030</v>
      </c>
      <c r="G85">
        <v>4.5180999999999996</v>
      </c>
      <c r="H85">
        <v>1</v>
      </c>
    </row>
    <row r="86" spans="1:8">
      <c r="A86" t="s">
        <v>84</v>
      </c>
      <c r="B86" t="s">
        <v>114</v>
      </c>
      <c r="C86" t="s">
        <v>25</v>
      </c>
      <c r="D86" t="s">
        <v>115</v>
      </c>
      <c r="E86" t="s">
        <v>37</v>
      </c>
      <c r="F86">
        <v>2040</v>
      </c>
      <c r="G86">
        <v>9.1365999999999996</v>
      </c>
      <c r="H86">
        <v>1</v>
      </c>
    </row>
    <row r="87" spans="1:8">
      <c r="A87" t="s">
        <v>84</v>
      </c>
      <c r="B87" t="s">
        <v>114</v>
      </c>
      <c r="C87" t="s">
        <v>25</v>
      </c>
      <c r="D87" t="s">
        <v>115</v>
      </c>
      <c r="E87" t="s">
        <v>37</v>
      </c>
      <c r="F87">
        <v>2050</v>
      </c>
      <c r="G87">
        <v>16.916599999999999</v>
      </c>
      <c r="H87">
        <v>1</v>
      </c>
    </row>
    <row r="88" spans="1:8">
      <c r="A88" t="s">
        <v>84</v>
      </c>
      <c r="B88" t="s">
        <v>114</v>
      </c>
      <c r="C88" t="s">
        <v>25</v>
      </c>
      <c r="D88" t="s">
        <v>115</v>
      </c>
      <c r="E88" t="s">
        <v>37</v>
      </c>
      <c r="F88">
        <v>2060</v>
      </c>
      <c r="G88">
        <v>21.623699999999999</v>
      </c>
      <c r="H88">
        <v>1</v>
      </c>
    </row>
    <row r="89" spans="1:8">
      <c r="A89" t="s">
        <v>84</v>
      </c>
      <c r="B89" t="s">
        <v>114</v>
      </c>
      <c r="C89" t="s">
        <v>25</v>
      </c>
      <c r="D89" t="s">
        <v>115</v>
      </c>
      <c r="E89" t="s">
        <v>37</v>
      </c>
      <c r="F89">
        <v>2070</v>
      </c>
      <c r="G89">
        <v>29.929099999999998</v>
      </c>
      <c r="H89">
        <v>1</v>
      </c>
    </row>
    <row r="90" spans="1:8">
      <c r="A90" t="s">
        <v>84</v>
      </c>
      <c r="B90" t="s">
        <v>114</v>
      </c>
      <c r="C90" t="s">
        <v>25</v>
      </c>
      <c r="D90" t="s">
        <v>115</v>
      </c>
      <c r="E90" t="s">
        <v>37</v>
      </c>
      <c r="F90">
        <v>2080</v>
      </c>
      <c r="G90">
        <v>31.2286</v>
      </c>
      <c r="H90">
        <v>1</v>
      </c>
    </row>
    <row r="91" spans="1:8">
      <c r="A91" t="s">
        <v>84</v>
      </c>
      <c r="B91" t="s">
        <v>114</v>
      </c>
      <c r="C91" t="s">
        <v>25</v>
      </c>
      <c r="D91" t="s">
        <v>115</v>
      </c>
      <c r="E91" t="s">
        <v>37</v>
      </c>
      <c r="F91">
        <v>2090</v>
      </c>
      <c r="G91">
        <v>35.675600000000003</v>
      </c>
      <c r="H91">
        <v>1</v>
      </c>
    </row>
    <row r="92" spans="1:8">
      <c r="A92" t="s">
        <v>84</v>
      </c>
      <c r="B92" t="s">
        <v>114</v>
      </c>
      <c r="C92" t="s">
        <v>25</v>
      </c>
      <c r="D92" t="s">
        <v>116</v>
      </c>
      <c r="E92" t="s">
        <v>37</v>
      </c>
      <c r="F92">
        <v>2010</v>
      </c>
      <c r="G92">
        <v>0</v>
      </c>
      <c r="H92">
        <v>1</v>
      </c>
    </row>
    <row r="93" spans="1:8">
      <c r="A93" t="s">
        <v>84</v>
      </c>
      <c r="B93" t="s">
        <v>114</v>
      </c>
      <c r="C93" t="s">
        <v>25</v>
      </c>
      <c r="D93" t="s">
        <v>116</v>
      </c>
      <c r="E93" t="s">
        <v>37</v>
      </c>
      <c r="F93">
        <v>2020</v>
      </c>
      <c r="G93">
        <v>0</v>
      </c>
      <c r="H93">
        <v>1</v>
      </c>
    </row>
    <row r="94" spans="1:8">
      <c r="A94" t="s">
        <v>84</v>
      </c>
      <c r="B94" t="s">
        <v>114</v>
      </c>
      <c r="C94" t="s">
        <v>25</v>
      </c>
      <c r="D94" t="s">
        <v>116</v>
      </c>
      <c r="E94" t="s">
        <v>37</v>
      </c>
      <c r="F94">
        <v>2030</v>
      </c>
      <c r="G94">
        <v>0</v>
      </c>
      <c r="H94">
        <v>1</v>
      </c>
    </row>
    <row r="95" spans="1:8">
      <c r="A95" t="s">
        <v>84</v>
      </c>
      <c r="B95" t="s">
        <v>114</v>
      </c>
      <c r="C95" t="s">
        <v>25</v>
      </c>
      <c r="D95" t="s">
        <v>116</v>
      </c>
      <c r="E95" t="s">
        <v>37</v>
      </c>
      <c r="F95">
        <v>2040</v>
      </c>
      <c r="G95">
        <v>0</v>
      </c>
      <c r="H95">
        <v>1</v>
      </c>
    </row>
    <row r="96" spans="1:8">
      <c r="A96" t="s">
        <v>84</v>
      </c>
      <c r="B96" t="s">
        <v>114</v>
      </c>
      <c r="C96" t="s">
        <v>25</v>
      </c>
      <c r="D96" t="s">
        <v>116</v>
      </c>
      <c r="E96" t="s">
        <v>37</v>
      </c>
      <c r="F96">
        <v>2050</v>
      </c>
      <c r="G96">
        <v>0</v>
      </c>
      <c r="H96">
        <v>1</v>
      </c>
    </row>
    <row r="97" spans="1:8">
      <c r="A97" t="s">
        <v>84</v>
      </c>
      <c r="B97" t="s">
        <v>114</v>
      </c>
      <c r="C97" t="s">
        <v>25</v>
      </c>
      <c r="D97" t="s">
        <v>116</v>
      </c>
      <c r="E97" t="s">
        <v>37</v>
      </c>
      <c r="F97">
        <v>2060</v>
      </c>
      <c r="G97">
        <v>0</v>
      </c>
      <c r="H97">
        <v>1</v>
      </c>
    </row>
    <row r="98" spans="1:8">
      <c r="A98" t="s">
        <v>84</v>
      </c>
      <c r="B98" t="s">
        <v>114</v>
      </c>
      <c r="C98" t="s">
        <v>25</v>
      </c>
      <c r="D98" t="s">
        <v>116</v>
      </c>
      <c r="E98" t="s">
        <v>37</v>
      </c>
      <c r="F98">
        <v>2070</v>
      </c>
      <c r="G98">
        <v>0</v>
      </c>
      <c r="H98">
        <v>1</v>
      </c>
    </row>
    <row r="99" spans="1:8">
      <c r="A99" t="s">
        <v>84</v>
      </c>
      <c r="B99" t="s">
        <v>114</v>
      </c>
      <c r="C99" t="s">
        <v>25</v>
      </c>
      <c r="D99" t="s">
        <v>116</v>
      </c>
      <c r="E99" t="s">
        <v>37</v>
      </c>
      <c r="F99">
        <v>2080</v>
      </c>
      <c r="G99">
        <v>0</v>
      </c>
      <c r="H99">
        <v>1</v>
      </c>
    </row>
    <row r="100" spans="1:8">
      <c r="A100" t="s">
        <v>84</v>
      </c>
      <c r="B100" t="s">
        <v>114</v>
      </c>
      <c r="C100" t="s">
        <v>25</v>
      </c>
      <c r="D100" t="s">
        <v>116</v>
      </c>
      <c r="E100" t="s">
        <v>37</v>
      </c>
      <c r="F100">
        <v>2090</v>
      </c>
      <c r="G100">
        <v>0</v>
      </c>
      <c r="H100">
        <v>1</v>
      </c>
    </row>
    <row r="101" spans="1:8">
      <c r="A101" t="s">
        <v>84</v>
      </c>
      <c r="B101" t="s">
        <v>114</v>
      </c>
      <c r="C101" t="s">
        <v>25</v>
      </c>
      <c r="D101" t="s">
        <v>117</v>
      </c>
      <c r="E101" t="s">
        <v>37</v>
      </c>
      <c r="F101">
        <v>2010</v>
      </c>
      <c r="G101">
        <v>-5</v>
      </c>
      <c r="H101">
        <v>1</v>
      </c>
    </row>
    <row r="102" spans="1:8">
      <c r="A102" t="s">
        <v>84</v>
      </c>
      <c r="B102" t="s">
        <v>114</v>
      </c>
      <c r="C102" t="s">
        <v>25</v>
      </c>
      <c r="D102" t="s">
        <v>117</v>
      </c>
      <c r="E102" t="s">
        <v>37</v>
      </c>
      <c r="F102">
        <v>2020</v>
      </c>
      <c r="G102">
        <v>-5</v>
      </c>
      <c r="H102">
        <v>1</v>
      </c>
    </row>
    <row r="103" spans="1:8">
      <c r="A103" t="s">
        <v>84</v>
      </c>
      <c r="B103" t="s">
        <v>114</v>
      </c>
      <c r="C103" t="s">
        <v>25</v>
      </c>
      <c r="D103" t="s">
        <v>117</v>
      </c>
      <c r="E103" t="s">
        <v>37</v>
      </c>
      <c r="F103">
        <v>2030</v>
      </c>
      <c r="G103">
        <v>25</v>
      </c>
      <c r="H103">
        <v>1</v>
      </c>
    </row>
    <row r="104" spans="1:8">
      <c r="A104" t="s">
        <v>84</v>
      </c>
      <c r="B104" t="s">
        <v>114</v>
      </c>
      <c r="C104" t="s">
        <v>25</v>
      </c>
      <c r="D104" t="s">
        <v>117</v>
      </c>
      <c r="E104" t="s">
        <v>37</v>
      </c>
      <c r="F104">
        <v>2040</v>
      </c>
      <c r="G104">
        <v>15</v>
      </c>
      <c r="H104">
        <v>1</v>
      </c>
    </row>
    <row r="105" spans="1:8">
      <c r="A105" t="s">
        <v>84</v>
      </c>
      <c r="B105" t="s">
        <v>114</v>
      </c>
      <c r="C105" t="s">
        <v>25</v>
      </c>
      <c r="D105" t="s">
        <v>117</v>
      </c>
      <c r="E105" t="s">
        <v>37</v>
      </c>
      <c r="F105">
        <v>2050</v>
      </c>
      <c r="G105">
        <v>5</v>
      </c>
      <c r="H105">
        <v>1</v>
      </c>
    </row>
    <row r="106" spans="1:8">
      <c r="A106" t="s">
        <v>84</v>
      </c>
      <c r="B106" t="s">
        <v>114</v>
      </c>
      <c r="C106" t="s">
        <v>25</v>
      </c>
      <c r="D106" t="s">
        <v>117</v>
      </c>
      <c r="E106" t="s">
        <v>37</v>
      </c>
      <c r="F106">
        <v>2060</v>
      </c>
      <c r="G106">
        <v>5</v>
      </c>
      <c r="H106">
        <v>1</v>
      </c>
    </row>
    <row r="107" spans="1:8">
      <c r="A107" t="s">
        <v>84</v>
      </c>
      <c r="B107" t="s">
        <v>114</v>
      </c>
      <c r="C107" t="s">
        <v>25</v>
      </c>
      <c r="D107" t="s">
        <v>117</v>
      </c>
      <c r="E107" t="s">
        <v>37</v>
      </c>
      <c r="F107">
        <v>2070</v>
      </c>
      <c r="G107">
        <v>15</v>
      </c>
      <c r="H107">
        <v>1</v>
      </c>
    </row>
    <row r="108" spans="1:8">
      <c r="A108" t="s">
        <v>84</v>
      </c>
      <c r="B108" t="s">
        <v>114</v>
      </c>
      <c r="C108" t="s">
        <v>25</v>
      </c>
      <c r="D108" t="s">
        <v>117</v>
      </c>
      <c r="E108" t="s">
        <v>37</v>
      </c>
      <c r="F108">
        <v>2080</v>
      </c>
      <c r="G108">
        <v>35</v>
      </c>
      <c r="H108">
        <v>1</v>
      </c>
    </row>
    <row r="109" spans="1:8">
      <c r="A109" t="s">
        <v>84</v>
      </c>
      <c r="B109" t="s">
        <v>114</v>
      </c>
      <c r="C109" t="s">
        <v>25</v>
      </c>
      <c r="D109" t="s">
        <v>117</v>
      </c>
      <c r="E109" t="s">
        <v>37</v>
      </c>
      <c r="F109">
        <v>2090</v>
      </c>
      <c r="G109">
        <v>15</v>
      </c>
      <c r="H109">
        <v>1</v>
      </c>
    </row>
    <row r="110" spans="1:8">
      <c r="A110" t="s">
        <v>85</v>
      </c>
      <c r="B110" t="s">
        <v>113</v>
      </c>
      <c r="C110" t="s">
        <v>20</v>
      </c>
      <c r="D110" t="s">
        <v>159</v>
      </c>
      <c r="E110" t="s">
        <v>37</v>
      </c>
      <c r="F110">
        <v>2010</v>
      </c>
      <c r="G110">
        <v>1.61</v>
      </c>
      <c r="H110">
        <v>1</v>
      </c>
    </row>
    <row r="111" spans="1:8">
      <c r="A111" t="s">
        <v>85</v>
      </c>
      <c r="B111" t="s">
        <v>113</v>
      </c>
      <c r="C111" t="s">
        <v>20</v>
      </c>
      <c r="D111" t="s">
        <v>159</v>
      </c>
      <c r="E111" t="s">
        <v>37</v>
      </c>
      <c r="F111">
        <v>2020</v>
      </c>
      <c r="G111">
        <v>1.83</v>
      </c>
      <c r="H111">
        <v>1</v>
      </c>
    </row>
    <row r="112" spans="1:8">
      <c r="A112" t="s">
        <v>85</v>
      </c>
      <c r="B112" t="s">
        <v>113</v>
      </c>
      <c r="C112" t="s">
        <v>20</v>
      </c>
      <c r="D112" t="s">
        <v>159</v>
      </c>
      <c r="E112" t="s">
        <v>37</v>
      </c>
      <c r="F112">
        <v>2030</v>
      </c>
      <c r="G112">
        <v>2.54</v>
      </c>
      <c r="H112">
        <v>1</v>
      </c>
    </row>
    <row r="113" spans="1:8">
      <c r="A113" t="s">
        <v>85</v>
      </c>
      <c r="B113" t="s">
        <v>113</v>
      </c>
      <c r="C113" t="s">
        <v>20</v>
      </c>
      <c r="D113" t="s">
        <v>159</v>
      </c>
      <c r="E113" t="s">
        <v>37</v>
      </c>
      <c r="F113">
        <v>2040</v>
      </c>
      <c r="G113">
        <v>1.85</v>
      </c>
      <c r="H113">
        <v>1</v>
      </c>
    </row>
    <row r="114" spans="1:8">
      <c r="A114" t="s">
        <v>85</v>
      </c>
      <c r="B114" t="s">
        <v>113</v>
      </c>
      <c r="C114" t="s">
        <v>20</v>
      </c>
      <c r="D114" t="s">
        <v>159</v>
      </c>
      <c r="E114" t="s">
        <v>37</v>
      </c>
      <c r="F114">
        <v>2050</v>
      </c>
      <c r="G114">
        <v>2.38</v>
      </c>
      <c r="H114">
        <v>1</v>
      </c>
    </row>
    <row r="115" spans="1:8">
      <c r="A115" t="s">
        <v>85</v>
      </c>
      <c r="B115" t="s">
        <v>113</v>
      </c>
      <c r="C115" t="s">
        <v>20</v>
      </c>
      <c r="D115" t="s">
        <v>159</v>
      </c>
      <c r="E115" t="s">
        <v>37</v>
      </c>
      <c r="F115">
        <v>2060</v>
      </c>
      <c r="G115">
        <v>2.57</v>
      </c>
      <c r="H115">
        <v>1</v>
      </c>
    </row>
    <row r="116" spans="1:8">
      <c r="A116" t="s">
        <v>85</v>
      </c>
      <c r="B116" t="s">
        <v>113</v>
      </c>
      <c r="C116" t="s">
        <v>20</v>
      </c>
      <c r="D116" t="s">
        <v>159</v>
      </c>
      <c r="E116" t="s">
        <v>37</v>
      </c>
      <c r="F116">
        <v>2070</v>
      </c>
      <c r="G116">
        <v>3.07</v>
      </c>
      <c r="H116">
        <v>1</v>
      </c>
    </row>
    <row r="117" spans="1:8">
      <c r="A117" t="s">
        <v>85</v>
      </c>
      <c r="B117" t="s">
        <v>113</v>
      </c>
      <c r="C117" t="s">
        <v>20</v>
      </c>
      <c r="D117" t="s">
        <v>159</v>
      </c>
      <c r="E117" t="s">
        <v>37</v>
      </c>
      <c r="F117">
        <v>2080</v>
      </c>
      <c r="G117">
        <v>2.4</v>
      </c>
      <c r="H117">
        <v>1</v>
      </c>
    </row>
    <row r="118" spans="1:8">
      <c r="A118" t="s">
        <v>85</v>
      </c>
      <c r="B118" t="s">
        <v>113</v>
      </c>
      <c r="C118" t="s">
        <v>20</v>
      </c>
      <c r="D118" t="s">
        <v>159</v>
      </c>
      <c r="E118" t="s">
        <v>37</v>
      </c>
      <c r="F118">
        <v>2090</v>
      </c>
      <c r="G118">
        <v>2.9</v>
      </c>
      <c r="H118">
        <v>1</v>
      </c>
    </row>
    <row r="119" spans="1:8">
      <c r="A119" t="s">
        <v>85</v>
      </c>
      <c r="B119" t="s">
        <v>113</v>
      </c>
      <c r="C119" t="s">
        <v>20</v>
      </c>
      <c r="D119" t="s">
        <v>31</v>
      </c>
      <c r="E119" t="s">
        <v>37</v>
      </c>
      <c r="F119">
        <v>2010</v>
      </c>
      <c r="G119">
        <v>0.69</v>
      </c>
      <c r="H119">
        <v>1</v>
      </c>
    </row>
    <row r="120" spans="1:8">
      <c r="A120" t="s">
        <v>85</v>
      </c>
      <c r="B120" t="s">
        <v>113</v>
      </c>
      <c r="C120" t="s">
        <v>20</v>
      </c>
      <c r="D120" t="s">
        <v>31</v>
      </c>
      <c r="E120" t="s">
        <v>37</v>
      </c>
      <c r="F120">
        <v>2020</v>
      </c>
      <c r="G120">
        <v>0.84</v>
      </c>
      <c r="H120">
        <v>1</v>
      </c>
    </row>
    <row r="121" spans="1:8">
      <c r="A121" t="s">
        <v>85</v>
      </c>
      <c r="B121" t="s">
        <v>113</v>
      </c>
      <c r="C121" t="s">
        <v>20</v>
      </c>
      <c r="D121" t="s">
        <v>31</v>
      </c>
      <c r="E121" t="s">
        <v>37</v>
      </c>
      <c r="F121">
        <v>2030</v>
      </c>
      <c r="G121">
        <v>0.57999999999999996</v>
      </c>
      <c r="H121">
        <v>1</v>
      </c>
    </row>
    <row r="122" spans="1:8">
      <c r="A122" t="s">
        <v>85</v>
      </c>
      <c r="B122" t="s">
        <v>113</v>
      </c>
      <c r="C122" t="s">
        <v>20</v>
      </c>
      <c r="D122" t="s">
        <v>31</v>
      </c>
      <c r="E122" t="s">
        <v>37</v>
      </c>
      <c r="F122">
        <v>2040</v>
      </c>
      <c r="G122">
        <v>1.06</v>
      </c>
      <c r="H122">
        <v>1</v>
      </c>
    </row>
    <row r="123" spans="1:8">
      <c r="A123" t="s">
        <v>85</v>
      </c>
      <c r="B123" t="s">
        <v>113</v>
      </c>
      <c r="C123" t="s">
        <v>20</v>
      </c>
      <c r="D123" t="s">
        <v>31</v>
      </c>
      <c r="E123" t="s">
        <v>37</v>
      </c>
      <c r="F123">
        <v>2050</v>
      </c>
      <c r="G123">
        <v>1.05</v>
      </c>
      <c r="H123">
        <v>1</v>
      </c>
    </row>
    <row r="124" spans="1:8">
      <c r="A124" t="s">
        <v>85</v>
      </c>
      <c r="B124" t="s">
        <v>113</v>
      </c>
      <c r="C124" t="s">
        <v>20</v>
      </c>
      <c r="D124" t="s">
        <v>31</v>
      </c>
      <c r="E124" t="s">
        <v>37</v>
      </c>
      <c r="F124">
        <v>2060</v>
      </c>
      <c r="G124">
        <v>0.75</v>
      </c>
      <c r="H124">
        <v>1</v>
      </c>
    </row>
    <row r="125" spans="1:8">
      <c r="A125" t="s">
        <v>85</v>
      </c>
      <c r="B125" t="s">
        <v>113</v>
      </c>
      <c r="C125" t="s">
        <v>20</v>
      </c>
      <c r="D125" t="s">
        <v>31</v>
      </c>
      <c r="E125" t="s">
        <v>37</v>
      </c>
      <c r="F125">
        <v>2070</v>
      </c>
      <c r="G125">
        <v>0.89</v>
      </c>
      <c r="H125">
        <v>1</v>
      </c>
    </row>
    <row r="126" spans="1:8">
      <c r="A126" t="s">
        <v>85</v>
      </c>
      <c r="B126" t="s">
        <v>113</v>
      </c>
      <c r="C126" t="s">
        <v>20</v>
      </c>
      <c r="D126" t="s">
        <v>31</v>
      </c>
      <c r="E126" t="s">
        <v>37</v>
      </c>
      <c r="F126">
        <v>2080</v>
      </c>
      <c r="G126">
        <v>0.79</v>
      </c>
      <c r="H126">
        <v>1</v>
      </c>
    </row>
    <row r="127" spans="1:8">
      <c r="A127" t="s">
        <v>85</v>
      </c>
      <c r="B127" t="s">
        <v>113</v>
      </c>
      <c r="C127" t="s">
        <v>20</v>
      </c>
      <c r="D127" t="s">
        <v>31</v>
      </c>
      <c r="E127" t="s">
        <v>37</v>
      </c>
      <c r="F127">
        <v>2090</v>
      </c>
      <c r="G127">
        <v>0.81</v>
      </c>
      <c r="H127">
        <v>1</v>
      </c>
    </row>
    <row r="128" spans="1:8">
      <c r="A128" t="s">
        <v>85</v>
      </c>
      <c r="B128" t="s">
        <v>113</v>
      </c>
      <c r="C128" t="s">
        <v>23</v>
      </c>
      <c r="D128" t="s">
        <v>158</v>
      </c>
      <c r="E128" t="s">
        <v>37</v>
      </c>
      <c r="F128">
        <v>2010</v>
      </c>
      <c r="G128">
        <v>1.52</v>
      </c>
      <c r="H128">
        <v>1</v>
      </c>
    </row>
    <row r="129" spans="1:8">
      <c r="A129" t="s">
        <v>85</v>
      </c>
      <c r="B129" t="s">
        <v>113</v>
      </c>
      <c r="C129" t="s">
        <v>23</v>
      </c>
      <c r="D129" t="s">
        <v>158</v>
      </c>
      <c r="E129" t="s">
        <v>37</v>
      </c>
      <c r="F129">
        <v>2020</v>
      </c>
      <c r="G129">
        <v>1.93</v>
      </c>
      <c r="H129">
        <v>1</v>
      </c>
    </row>
    <row r="130" spans="1:8">
      <c r="A130" t="s">
        <v>85</v>
      </c>
      <c r="B130" t="s">
        <v>113</v>
      </c>
      <c r="C130" t="s">
        <v>23</v>
      </c>
      <c r="D130" t="s">
        <v>158</v>
      </c>
      <c r="E130" t="s">
        <v>37</v>
      </c>
      <c r="F130">
        <v>2030</v>
      </c>
      <c r="G130">
        <v>1.48</v>
      </c>
      <c r="H130">
        <v>1</v>
      </c>
    </row>
    <row r="131" spans="1:8">
      <c r="A131" t="s">
        <v>85</v>
      </c>
      <c r="B131" t="s">
        <v>113</v>
      </c>
      <c r="C131" t="s">
        <v>23</v>
      </c>
      <c r="D131" t="s">
        <v>158</v>
      </c>
      <c r="E131" t="s">
        <v>37</v>
      </c>
      <c r="F131">
        <v>2040</v>
      </c>
      <c r="G131">
        <v>2.14</v>
      </c>
      <c r="H131">
        <v>1</v>
      </c>
    </row>
    <row r="132" spans="1:8">
      <c r="A132" t="s">
        <v>85</v>
      </c>
      <c r="B132" t="s">
        <v>113</v>
      </c>
      <c r="C132" t="s">
        <v>23</v>
      </c>
      <c r="D132" t="s">
        <v>158</v>
      </c>
      <c r="E132" t="s">
        <v>37</v>
      </c>
      <c r="F132">
        <v>2050</v>
      </c>
      <c r="G132">
        <v>1.78</v>
      </c>
      <c r="H132">
        <v>1</v>
      </c>
    </row>
    <row r="133" spans="1:8">
      <c r="A133" t="s">
        <v>85</v>
      </c>
      <c r="B133" t="s">
        <v>113</v>
      </c>
      <c r="C133" t="s">
        <v>23</v>
      </c>
      <c r="D133" t="s">
        <v>158</v>
      </c>
      <c r="E133" t="s">
        <v>37</v>
      </c>
      <c r="F133">
        <v>2060</v>
      </c>
      <c r="G133">
        <v>2.16</v>
      </c>
      <c r="H133">
        <v>1</v>
      </c>
    </row>
    <row r="134" spans="1:8">
      <c r="A134" t="s">
        <v>85</v>
      </c>
      <c r="B134" t="s">
        <v>113</v>
      </c>
      <c r="C134" t="s">
        <v>23</v>
      </c>
      <c r="D134" t="s">
        <v>158</v>
      </c>
      <c r="E134" t="s">
        <v>37</v>
      </c>
      <c r="F134">
        <v>2070</v>
      </c>
      <c r="G134">
        <v>1.83</v>
      </c>
      <c r="H134">
        <v>1</v>
      </c>
    </row>
    <row r="135" spans="1:8">
      <c r="A135" t="s">
        <v>85</v>
      </c>
      <c r="B135" t="s">
        <v>113</v>
      </c>
      <c r="C135" t="s">
        <v>23</v>
      </c>
      <c r="D135" t="s">
        <v>158</v>
      </c>
      <c r="E135" t="s">
        <v>37</v>
      </c>
      <c r="F135">
        <v>2080</v>
      </c>
      <c r="G135">
        <v>1.72</v>
      </c>
      <c r="H135">
        <v>1</v>
      </c>
    </row>
    <row r="136" spans="1:8">
      <c r="A136" t="s">
        <v>85</v>
      </c>
      <c r="B136" t="s">
        <v>113</v>
      </c>
      <c r="C136" t="s">
        <v>23</v>
      </c>
      <c r="D136" t="s">
        <v>158</v>
      </c>
      <c r="E136" t="s">
        <v>37</v>
      </c>
      <c r="F136">
        <v>2090</v>
      </c>
      <c r="G136">
        <v>2.2400000000000002</v>
      </c>
      <c r="H136">
        <v>1</v>
      </c>
    </row>
    <row r="137" spans="1:8">
      <c r="A137" t="s">
        <v>85</v>
      </c>
      <c r="B137" t="s">
        <v>114</v>
      </c>
      <c r="C137" t="s">
        <v>25</v>
      </c>
      <c r="D137" t="s">
        <v>115</v>
      </c>
      <c r="E137" t="s">
        <v>37</v>
      </c>
      <c r="F137">
        <v>2010</v>
      </c>
      <c r="G137">
        <v>3.3892000000000002</v>
      </c>
      <c r="H137">
        <v>1</v>
      </c>
    </row>
    <row r="138" spans="1:8">
      <c r="A138" t="s">
        <v>85</v>
      </c>
      <c r="B138" t="s">
        <v>114</v>
      </c>
      <c r="C138" t="s">
        <v>25</v>
      </c>
      <c r="D138" t="s">
        <v>115</v>
      </c>
      <c r="E138" t="s">
        <v>37</v>
      </c>
      <c r="F138">
        <v>2020</v>
      </c>
      <c r="G138">
        <v>3.0421999999999998</v>
      </c>
      <c r="H138">
        <v>1</v>
      </c>
    </row>
    <row r="139" spans="1:8">
      <c r="A139" t="s">
        <v>85</v>
      </c>
      <c r="B139" t="s">
        <v>114</v>
      </c>
      <c r="C139" t="s">
        <v>25</v>
      </c>
      <c r="D139" t="s">
        <v>115</v>
      </c>
      <c r="E139" t="s">
        <v>37</v>
      </c>
      <c r="F139">
        <v>2030</v>
      </c>
      <c r="G139">
        <v>11.668200000000001</v>
      </c>
      <c r="H139">
        <v>1</v>
      </c>
    </row>
    <row r="140" spans="1:8">
      <c r="A140" t="s">
        <v>85</v>
      </c>
      <c r="B140" t="s">
        <v>114</v>
      </c>
      <c r="C140" t="s">
        <v>25</v>
      </c>
      <c r="D140" t="s">
        <v>115</v>
      </c>
      <c r="E140" t="s">
        <v>37</v>
      </c>
      <c r="F140">
        <v>2040</v>
      </c>
      <c r="G140">
        <v>21.437100000000001</v>
      </c>
      <c r="H140">
        <v>1</v>
      </c>
    </row>
    <row r="141" spans="1:8">
      <c r="A141" t="s">
        <v>85</v>
      </c>
      <c r="B141" t="s">
        <v>114</v>
      </c>
      <c r="C141" t="s">
        <v>25</v>
      </c>
      <c r="D141" t="s">
        <v>115</v>
      </c>
      <c r="E141" t="s">
        <v>37</v>
      </c>
      <c r="F141">
        <v>2050</v>
      </c>
      <c r="G141">
        <v>33.826999999999998</v>
      </c>
      <c r="H141">
        <v>1</v>
      </c>
    </row>
    <row r="142" spans="1:8">
      <c r="A142" t="s">
        <v>85</v>
      </c>
      <c r="B142" t="s">
        <v>114</v>
      </c>
      <c r="C142" t="s">
        <v>25</v>
      </c>
      <c r="D142" t="s">
        <v>115</v>
      </c>
      <c r="E142" t="s">
        <v>37</v>
      </c>
      <c r="F142">
        <v>2060</v>
      </c>
      <c r="G142">
        <v>40.623199999999997</v>
      </c>
      <c r="H142">
        <v>1</v>
      </c>
    </row>
    <row r="143" spans="1:8">
      <c r="A143" t="s">
        <v>85</v>
      </c>
      <c r="B143" t="s">
        <v>114</v>
      </c>
      <c r="C143" t="s">
        <v>25</v>
      </c>
      <c r="D143" t="s">
        <v>115</v>
      </c>
      <c r="E143" t="s">
        <v>37</v>
      </c>
      <c r="F143">
        <v>2070</v>
      </c>
      <c r="G143">
        <v>41.029299999999999</v>
      </c>
      <c r="H143">
        <v>1</v>
      </c>
    </row>
    <row r="144" spans="1:8">
      <c r="A144" t="s">
        <v>85</v>
      </c>
      <c r="B144" t="s">
        <v>114</v>
      </c>
      <c r="C144" t="s">
        <v>25</v>
      </c>
      <c r="D144" t="s">
        <v>115</v>
      </c>
      <c r="E144" t="s">
        <v>37</v>
      </c>
      <c r="F144">
        <v>2080</v>
      </c>
      <c r="G144">
        <v>52.423099999999998</v>
      </c>
      <c r="H144">
        <v>1</v>
      </c>
    </row>
    <row r="145" spans="1:8">
      <c r="A145" t="s">
        <v>85</v>
      </c>
      <c r="B145" t="s">
        <v>114</v>
      </c>
      <c r="C145" t="s">
        <v>25</v>
      </c>
      <c r="D145" t="s">
        <v>115</v>
      </c>
      <c r="E145" t="s">
        <v>37</v>
      </c>
      <c r="F145">
        <v>2090</v>
      </c>
      <c r="G145">
        <v>56.773899999999998</v>
      </c>
      <c r="H145">
        <v>1</v>
      </c>
    </row>
    <row r="146" spans="1:8">
      <c r="A146" t="s">
        <v>85</v>
      </c>
      <c r="B146" t="s">
        <v>114</v>
      </c>
      <c r="C146" t="s">
        <v>25</v>
      </c>
      <c r="D146" t="s">
        <v>116</v>
      </c>
      <c r="E146" t="s">
        <v>37</v>
      </c>
      <c r="F146">
        <v>2010</v>
      </c>
      <c r="G146">
        <v>0</v>
      </c>
      <c r="H146">
        <v>1</v>
      </c>
    </row>
    <row r="147" spans="1:8">
      <c r="A147" t="s">
        <v>85</v>
      </c>
      <c r="B147" t="s">
        <v>114</v>
      </c>
      <c r="C147" t="s">
        <v>25</v>
      </c>
      <c r="D147" t="s">
        <v>116</v>
      </c>
      <c r="E147" t="s">
        <v>37</v>
      </c>
      <c r="F147">
        <v>2020</v>
      </c>
      <c r="G147">
        <v>0</v>
      </c>
      <c r="H147">
        <v>1</v>
      </c>
    </row>
    <row r="148" spans="1:8">
      <c r="A148" t="s">
        <v>85</v>
      </c>
      <c r="B148" t="s">
        <v>114</v>
      </c>
      <c r="C148" t="s">
        <v>25</v>
      </c>
      <c r="D148" t="s">
        <v>116</v>
      </c>
      <c r="E148" t="s">
        <v>37</v>
      </c>
      <c r="F148">
        <v>2030</v>
      </c>
      <c r="G148">
        <v>0</v>
      </c>
      <c r="H148">
        <v>1</v>
      </c>
    </row>
    <row r="149" spans="1:8">
      <c r="A149" t="s">
        <v>85</v>
      </c>
      <c r="B149" t="s">
        <v>114</v>
      </c>
      <c r="C149" t="s">
        <v>25</v>
      </c>
      <c r="D149" t="s">
        <v>116</v>
      </c>
      <c r="E149" t="s">
        <v>37</v>
      </c>
      <c r="F149">
        <v>2040</v>
      </c>
      <c r="G149">
        <v>0</v>
      </c>
      <c r="H149">
        <v>1</v>
      </c>
    </row>
    <row r="150" spans="1:8">
      <c r="A150" t="s">
        <v>85</v>
      </c>
      <c r="B150" t="s">
        <v>114</v>
      </c>
      <c r="C150" t="s">
        <v>25</v>
      </c>
      <c r="D150" t="s">
        <v>116</v>
      </c>
      <c r="E150" t="s">
        <v>37</v>
      </c>
      <c r="F150">
        <v>2050</v>
      </c>
      <c r="G150">
        <v>0</v>
      </c>
      <c r="H150">
        <v>1</v>
      </c>
    </row>
    <row r="151" spans="1:8">
      <c r="A151" t="s">
        <v>85</v>
      </c>
      <c r="B151" t="s">
        <v>114</v>
      </c>
      <c r="C151" t="s">
        <v>25</v>
      </c>
      <c r="D151" t="s">
        <v>116</v>
      </c>
      <c r="E151" t="s">
        <v>37</v>
      </c>
      <c r="F151">
        <v>2060</v>
      </c>
      <c r="G151">
        <v>0</v>
      </c>
      <c r="H151">
        <v>1</v>
      </c>
    </row>
    <row r="152" spans="1:8">
      <c r="A152" t="s">
        <v>85</v>
      </c>
      <c r="B152" t="s">
        <v>114</v>
      </c>
      <c r="C152" t="s">
        <v>25</v>
      </c>
      <c r="D152" t="s">
        <v>116</v>
      </c>
      <c r="E152" t="s">
        <v>37</v>
      </c>
      <c r="F152">
        <v>2070</v>
      </c>
      <c r="G152">
        <v>0</v>
      </c>
      <c r="H152">
        <v>1</v>
      </c>
    </row>
    <row r="153" spans="1:8">
      <c r="A153" t="s">
        <v>85</v>
      </c>
      <c r="B153" t="s">
        <v>114</v>
      </c>
      <c r="C153" t="s">
        <v>25</v>
      </c>
      <c r="D153" t="s">
        <v>116</v>
      </c>
      <c r="E153" t="s">
        <v>37</v>
      </c>
      <c r="F153">
        <v>2080</v>
      </c>
      <c r="G153">
        <v>0</v>
      </c>
      <c r="H153">
        <v>1</v>
      </c>
    </row>
    <row r="154" spans="1:8">
      <c r="A154" t="s">
        <v>85</v>
      </c>
      <c r="B154" t="s">
        <v>114</v>
      </c>
      <c r="C154" t="s">
        <v>25</v>
      </c>
      <c r="D154" t="s">
        <v>116</v>
      </c>
      <c r="E154" t="s">
        <v>37</v>
      </c>
      <c r="F154">
        <v>2090</v>
      </c>
      <c r="G154">
        <v>0</v>
      </c>
      <c r="H154">
        <v>1</v>
      </c>
    </row>
    <row r="155" spans="1:8">
      <c r="A155" t="s">
        <v>85</v>
      </c>
      <c r="B155" t="s">
        <v>114</v>
      </c>
      <c r="C155" t="s">
        <v>25</v>
      </c>
      <c r="D155" t="s">
        <v>117</v>
      </c>
      <c r="E155" t="s">
        <v>37</v>
      </c>
      <c r="F155">
        <v>2010</v>
      </c>
      <c r="G155">
        <v>0</v>
      </c>
      <c r="H155">
        <v>1</v>
      </c>
    </row>
    <row r="156" spans="1:8">
      <c r="A156" t="s">
        <v>85</v>
      </c>
      <c r="B156" t="s">
        <v>114</v>
      </c>
      <c r="C156" t="s">
        <v>25</v>
      </c>
      <c r="D156" t="s">
        <v>117</v>
      </c>
      <c r="E156" t="s">
        <v>37</v>
      </c>
      <c r="F156">
        <v>2020</v>
      </c>
      <c r="G156">
        <v>0</v>
      </c>
      <c r="H156">
        <v>1</v>
      </c>
    </row>
    <row r="157" spans="1:8">
      <c r="A157" t="s">
        <v>85</v>
      </c>
      <c r="B157" t="s">
        <v>114</v>
      </c>
      <c r="C157" t="s">
        <v>25</v>
      </c>
      <c r="D157" t="s">
        <v>117</v>
      </c>
      <c r="E157" t="s">
        <v>37</v>
      </c>
      <c r="F157">
        <v>2030</v>
      </c>
      <c r="G157">
        <v>0</v>
      </c>
      <c r="H157">
        <v>1</v>
      </c>
    </row>
    <row r="158" spans="1:8">
      <c r="A158" t="s">
        <v>85</v>
      </c>
      <c r="B158" t="s">
        <v>114</v>
      </c>
      <c r="C158" t="s">
        <v>25</v>
      </c>
      <c r="D158" t="s">
        <v>117</v>
      </c>
      <c r="E158" t="s">
        <v>37</v>
      </c>
      <c r="F158">
        <v>2040</v>
      </c>
      <c r="G158">
        <v>0</v>
      </c>
      <c r="H158">
        <v>1</v>
      </c>
    </row>
    <row r="159" spans="1:8">
      <c r="A159" t="s">
        <v>85</v>
      </c>
      <c r="B159" t="s">
        <v>114</v>
      </c>
      <c r="C159" t="s">
        <v>25</v>
      </c>
      <c r="D159" t="s">
        <v>117</v>
      </c>
      <c r="E159" t="s">
        <v>37</v>
      </c>
      <c r="F159">
        <v>2050</v>
      </c>
      <c r="G159">
        <v>0</v>
      </c>
      <c r="H159">
        <v>1</v>
      </c>
    </row>
    <row r="160" spans="1:8">
      <c r="A160" t="s">
        <v>85</v>
      </c>
      <c r="B160" t="s">
        <v>114</v>
      </c>
      <c r="C160" t="s">
        <v>25</v>
      </c>
      <c r="D160" t="s">
        <v>117</v>
      </c>
      <c r="E160" t="s">
        <v>37</v>
      </c>
      <c r="F160">
        <v>2060</v>
      </c>
      <c r="G160">
        <v>0</v>
      </c>
      <c r="H160">
        <v>1</v>
      </c>
    </row>
    <row r="161" spans="1:8">
      <c r="A161" t="s">
        <v>85</v>
      </c>
      <c r="B161" t="s">
        <v>114</v>
      </c>
      <c r="C161" t="s">
        <v>25</v>
      </c>
      <c r="D161" t="s">
        <v>117</v>
      </c>
      <c r="E161" t="s">
        <v>37</v>
      </c>
      <c r="F161">
        <v>2070</v>
      </c>
      <c r="G161">
        <v>0</v>
      </c>
      <c r="H161">
        <v>1</v>
      </c>
    </row>
    <row r="162" spans="1:8">
      <c r="A162" t="s">
        <v>85</v>
      </c>
      <c r="B162" t="s">
        <v>114</v>
      </c>
      <c r="C162" t="s">
        <v>25</v>
      </c>
      <c r="D162" t="s">
        <v>117</v>
      </c>
      <c r="E162" t="s">
        <v>37</v>
      </c>
      <c r="F162">
        <v>2080</v>
      </c>
      <c r="G162">
        <v>0</v>
      </c>
      <c r="H162">
        <v>1</v>
      </c>
    </row>
    <row r="163" spans="1:8">
      <c r="A163" t="s">
        <v>85</v>
      </c>
      <c r="B163" t="s">
        <v>114</v>
      </c>
      <c r="C163" t="s">
        <v>25</v>
      </c>
      <c r="D163" t="s">
        <v>117</v>
      </c>
      <c r="E163" t="s">
        <v>37</v>
      </c>
      <c r="F163">
        <v>2090</v>
      </c>
      <c r="G163">
        <v>0</v>
      </c>
      <c r="H163">
        <v>1</v>
      </c>
    </row>
    <row r="164" spans="1:8">
      <c r="A164" t="s">
        <v>86</v>
      </c>
      <c r="B164" t="s">
        <v>113</v>
      </c>
      <c r="C164" t="s">
        <v>20</v>
      </c>
      <c r="D164" t="s">
        <v>159</v>
      </c>
      <c r="E164" t="s">
        <v>37</v>
      </c>
      <c r="F164">
        <v>2010</v>
      </c>
      <c r="G164">
        <v>2.0099999999999998</v>
      </c>
      <c r="H164">
        <v>1</v>
      </c>
    </row>
    <row r="165" spans="1:8">
      <c r="A165" t="s">
        <v>86</v>
      </c>
      <c r="B165" t="s">
        <v>113</v>
      </c>
      <c r="C165" t="s">
        <v>20</v>
      </c>
      <c r="D165" t="s">
        <v>159</v>
      </c>
      <c r="E165" t="s">
        <v>37</v>
      </c>
      <c r="F165">
        <v>2020</v>
      </c>
      <c r="G165">
        <v>1.23</v>
      </c>
      <c r="H165">
        <v>1</v>
      </c>
    </row>
    <row r="166" spans="1:8">
      <c r="A166" t="s">
        <v>86</v>
      </c>
      <c r="B166" t="s">
        <v>113</v>
      </c>
      <c r="C166" t="s">
        <v>20</v>
      </c>
      <c r="D166" t="s">
        <v>159</v>
      </c>
      <c r="E166" t="s">
        <v>37</v>
      </c>
      <c r="F166">
        <v>2030</v>
      </c>
      <c r="G166">
        <v>2.5099999999999998</v>
      </c>
      <c r="H166">
        <v>1</v>
      </c>
    </row>
    <row r="167" spans="1:8">
      <c r="A167" t="s">
        <v>86</v>
      </c>
      <c r="B167" t="s">
        <v>113</v>
      </c>
      <c r="C167" t="s">
        <v>20</v>
      </c>
      <c r="D167" t="s">
        <v>159</v>
      </c>
      <c r="E167" t="s">
        <v>37</v>
      </c>
      <c r="F167">
        <v>2040</v>
      </c>
      <c r="G167">
        <v>2.8</v>
      </c>
      <c r="H167">
        <v>1</v>
      </c>
    </row>
    <row r="168" spans="1:8">
      <c r="A168" t="s">
        <v>86</v>
      </c>
      <c r="B168" t="s">
        <v>113</v>
      </c>
      <c r="C168" t="s">
        <v>20</v>
      </c>
      <c r="D168" t="s">
        <v>159</v>
      </c>
      <c r="E168" t="s">
        <v>37</v>
      </c>
      <c r="F168">
        <v>2050</v>
      </c>
      <c r="G168">
        <v>1.6</v>
      </c>
      <c r="H168">
        <v>1</v>
      </c>
    </row>
    <row r="169" spans="1:8">
      <c r="A169" t="s">
        <v>86</v>
      </c>
      <c r="B169" t="s">
        <v>113</v>
      </c>
      <c r="C169" t="s">
        <v>20</v>
      </c>
      <c r="D169" t="s">
        <v>159</v>
      </c>
      <c r="E169" t="s">
        <v>37</v>
      </c>
      <c r="F169">
        <v>2060</v>
      </c>
      <c r="G169">
        <v>2.1</v>
      </c>
      <c r="H169">
        <v>1</v>
      </c>
    </row>
    <row r="170" spans="1:8">
      <c r="A170" t="s">
        <v>86</v>
      </c>
      <c r="B170" t="s">
        <v>113</v>
      </c>
      <c r="C170" t="s">
        <v>20</v>
      </c>
      <c r="D170" t="s">
        <v>159</v>
      </c>
      <c r="E170" t="s">
        <v>37</v>
      </c>
      <c r="F170">
        <v>2070</v>
      </c>
      <c r="G170">
        <v>2.5099999999999998</v>
      </c>
      <c r="H170">
        <v>1</v>
      </c>
    </row>
    <row r="171" spans="1:8">
      <c r="A171" t="s">
        <v>86</v>
      </c>
      <c r="B171" t="s">
        <v>113</v>
      </c>
      <c r="C171" t="s">
        <v>20</v>
      </c>
      <c r="D171" t="s">
        <v>159</v>
      </c>
      <c r="E171" t="s">
        <v>37</v>
      </c>
      <c r="F171">
        <v>2080</v>
      </c>
      <c r="G171">
        <v>2.58</v>
      </c>
      <c r="H171">
        <v>1</v>
      </c>
    </row>
    <row r="172" spans="1:8">
      <c r="A172" t="s">
        <v>86</v>
      </c>
      <c r="B172" t="s">
        <v>113</v>
      </c>
      <c r="C172" t="s">
        <v>20</v>
      </c>
      <c r="D172" t="s">
        <v>159</v>
      </c>
      <c r="E172" t="s">
        <v>37</v>
      </c>
      <c r="F172">
        <v>2090</v>
      </c>
      <c r="G172">
        <v>2.1800000000000002</v>
      </c>
      <c r="H172">
        <v>1</v>
      </c>
    </row>
    <row r="173" spans="1:8">
      <c r="A173" t="s">
        <v>86</v>
      </c>
      <c r="B173" t="s">
        <v>113</v>
      </c>
      <c r="C173" t="s">
        <v>20</v>
      </c>
      <c r="D173" t="s">
        <v>31</v>
      </c>
      <c r="E173" t="s">
        <v>37</v>
      </c>
      <c r="F173">
        <v>2010</v>
      </c>
      <c r="G173">
        <v>0.69</v>
      </c>
      <c r="H173">
        <v>1</v>
      </c>
    </row>
    <row r="174" spans="1:8">
      <c r="A174" t="s">
        <v>86</v>
      </c>
      <c r="B174" t="s">
        <v>113</v>
      </c>
      <c r="C174" t="s">
        <v>20</v>
      </c>
      <c r="D174" t="s">
        <v>31</v>
      </c>
      <c r="E174" t="s">
        <v>37</v>
      </c>
      <c r="F174">
        <v>2020</v>
      </c>
      <c r="G174">
        <v>0.82</v>
      </c>
      <c r="H174">
        <v>1</v>
      </c>
    </row>
    <row r="175" spans="1:8">
      <c r="A175" t="s">
        <v>86</v>
      </c>
      <c r="B175" t="s">
        <v>113</v>
      </c>
      <c r="C175" t="s">
        <v>20</v>
      </c>
      <c r="D175" t="s">
        <v>31</v>
      </c>
      <c r="E175" t="s">
        <v>37</v>
      </c>
      <c r="F175">
        <v>2030</v>
      </c>
      <c r="G175">
        <v>0.68</v>
      </c>
      <c r="H175">
        <v>1</v>
      </c>
    </row>
    <row r="176" spans="1:8">
      <c r="A176" t="s">
        <v>86</v>
      </c>
      <c r="B176" t="s">
        <v>113</v>
      </c>
      <c r="C176" t="s">
        <v>20</v>
      </c>
      <c r="D176" t="s">
        <v>31</v>
      </c>
      <c r="E176" t="s">
        <v>37</v>
      </c>
      <c r="F176">
        <v>2040</v>
      </c>
      <c r="G176">
        <v>0.88</v>
      </c>
      <c r="H176">
        <v>1</v>
      </c>
    </row>
    <row r="177" spans="1:8">
      <c r="A177" t="s">
        <v>86</v>
      </c>
      <c r="B177" t="s">
        <v>113</v>
      </c>
      <c r="C177" t="s">
        <v>20</v>
      </c>
      <c r="D177" t="s">
        <v>31</v>
      </c>
      <c r="E177" t="s">
        <v>37</v>
      </c>
      <c r="F177">
        <v>2050</v>
      </c>
      <c r="G177">
        <v>0.96</v>
      </c>
      <c r="H177">
        <v>1</v>
      </c>
    </row>
    <row r="178" spans="1:8">
      <c r="A178" t="s">
        <v>86</v>
      </c>
      <c r="B178" t="s">
        <v>113</v>
      </c>
      <c r="C178" t="s">
        <v>20</v>
      </c>
      <c r="D178" t="s">
        <v>31</v>
      </c>
      <c r="E178" t="s">
        <v>37</v>
      </c>
      <c r="F178">
        <v>2060</v>
      </c>
      <c r="G178">
        <v>0.77</v>
      </c>
      <c r="H178">
        <v>1</v>
      </c>
    </row>
    <row r="179" spans="1:8">
      <c r="A179" t="s">
        <v>86</v>
      </c>
      <c r="B179" t="s">
        <v>113</v>
      </c>
      <c r="C179" t="s">
        <v>20</v>
      </c>
      <c r="D179" t="s">
        <v>31</v>
      </c>
      <c r="E179" t="s">
        <v>37</v>
      </c>
      <c r="F179">
        <v>2070</v>
      </c>
      <c r="G179">
        <v>1.04</v>
      </c>
      <c r="H179">
        <v>1</v>
      </c>
    </row>
    <row r="180" spans="1:8">
      <c r="A180" t="s">
        <v>86</v>
      </c>
      <c r="B180" t="s">
        <v>113</v>
      </c>
      <c r="C180" t="s">
        <v>20</v>
      </c>
      <c r="D180" t="s">
        <v>31</v>
      </c>
      <c r="E180" t="s">
        <v>37</v>
      </c>
      <c r="F180">
        <v>2080</v>
      </c>
      <c r="G180">
        <v>0.68</v>
      </c>
      <c r="H180">
        <v>1</v>
      </c>
    </row>
    <row r="181" spans="1:8">
      <c r="A181" t="s">
        <v>86</v>
      </c>
      <c r="B181" t="s">
        <v>113</v>
      </c>
      <c r="C181" t="s">
        <v>20</v>
      </c>
      <c r="D181" t="s">
        <v>31</v>
      </c>
      <c r="E181" t="s">
        <v>37</v>
      </c>
      <c r="F181">
        <v>2090</v>
      </c>
      <c r="G181">
        <v>0.84</v>
      </c>
      <c r="H181">
        <v>1</v>
      </c>
    </row>
    <row r="182" spans="1:8">
      <c r="A182" t="s">
        <v>86</v>
      </c>
      <c r="B182" t="s">
        <v>113</v>
      </c>
      <c r="C182" t="s">
        <v>23</v>
      </c>
      <c r="D182" t="s">
        <v>158</v>
      </c>
      <c r="E182" t="s">
        <v>37</v>
      </c>
      <c r="F182">
        <v>2010</v>
      </c>
      <c r="G182">
        <v>1.29</v>
      </c>
      <c r="H182">
        <v>1</v>
      </c>
    </row>
    <row r="183" spans="1:8">
      <c r="A183" t="s">
        <v>86</v>
      </c>
      <c r="B183" t="s">
        <v>113</v>
      </c>
      <c r="C183" t="s">
        <v>23</v>
      </c>
      <c r="D183" t="s">
        <v>158</v>
      </c>
      <c r="E183" t="s">
        <v>37</v>
      </c>
      <c r="F183">
        <v>2020</v>
      </c>
      <c r="G183">
        <v>1.93</v>
      </c>
      <c r="H183">
        <v>1</v>
      </c>
    </row>
    <row r="184" spans="1:8">
      <c r="A184" t="s">
        <v>86</v>
      </c>
      <c r="B184" t="s">
        <v>113</v>
      </c>
      <c r="C184" t="s">
        <v>23</v>
      </c>
      <c r="D184" t="s">
        <v>158</v>
      </c>
      <c r="E184" t="s">
        <v>37</v>
      </c>
      <c r="F184">
        <v>2030</v>
      </c>
      <c r="G184">
        <v>1.3</v>
      </c>
      <c r="H184">
        <v>1</v>
      </c>
    </row>
    <row r="185" spans="1:8">
      <c r="A185" t="s">
        <v>86</v>
      </c>
      <c r="B185" t="s">
        <v>113</v>
      </c>
      <c r="C185" t="s">
        <v>23</v>
      </c>
      <c r="D185" t="s">
        <v>158</v>
      </c>
      <c r="E185" t="s">
        <v>37</v>
      </c>
      <c r="F185">
        <v>2040</v>
      </c>
      <c r="G185">
        <v>1.58</v>
      </c>
      <c r="H185">
        <v>1</v>
      </c>
    </row>
    <row r="186" spans="1:8">
      <c r="A186" t="s">
        <v>86</v>
      </c>
      <c r="B186" t="s">
        <v>113</v>
      </c>
      <c r="C186" t="s">
        <v>23</v>
      </c>
      <c r="D186" t="s">
        <v>158</v>
      </c>
      <c r="E186" t="s">
        <v>37</v>
      </c>
      <c r="F186">
        <v>2050</v>
      </c>
      <c r="G186">
        <v>1.43</v>
      </c>
      <c r="H186">
        <v>1</v>
      </c>
    </row>
    <row r="187" spans="1:8">
      <c r="A187" t="s">
        <v>86</v>
      </c>
      <c r="B187" t="s">
        <v>113</v>
      </c>
      <c r="C187" t="s">
        <v>23</v>
      </c>
      <c r="D187" t="s">
        <v>158</v>
      </c>
      <c r="E187" t="s">
        <v>37</v>
      </c>
      <c r="F187">
        <v>2060</v>
      </c>
      <c r="G187">
        <v>1.61</v>
      </c>
      <c r="H187">
        <v>1</v>
      </c>
    </row>
    <row r="188" spans="1:8">
      <c r="A188" t="s">
        <v>86</v>
      </c>
      <c r="B188" t="s">
        <v>113</v>
      </c>
      <c r="C188" t="s">
        <v>23</v>
      </c>
      <c r="D188" t="s">
        <v>158</v>
      </c>
      <c r="E188" t="s">
        <v>37</v>
      </c>
      <c r="F188">
        <v>2070</v>
      </c>
      <c r="G188">
        <v>1.55</v>
      </c>
      <c r="H188">
        <v>1</v>
      </c>
    </row>
    <row r="189" spans="1:8">
      <c r="A189" t="s">
        <v>86</v>
      </c>
      <c r="B189" t="s">
        <v>113</v>
      </c>
      <c r="C189" t="s">
        <v>23</v>
      </c>
      <c r="D189" t="s">
        <v>158</v>
      </c>
      <c r="E189" t="s">
        <v>37</v>
      </c>
      <c r="F189">
        <v>2080</v>
      </c>
      <c r="G189">
        <v>2.75</v>
      </c>
      <c r="H189">
        <v>1</v>
      </c>
    </row>
    <row r="190" spans="1:8">
      <c r="A190" t="s">
        <v>86</v>
      </c>
      <c r="B190" t="s">
        <v>113</v>
      </c>
      <c r="C190" t="s">
        <v>23</v>
      </c>
      <c r="D190" t="s">
        <v>158</v>
      </c>
      <c r="E190" t="s">
        <v>37</v>
      </c>
      <c r="F190">
        <v>2090</v>
      </c>
      <c r="G190">
        <v>2.52</v>
      </c>
      <c r="H190">
        <v>1</v>
      </c>
    </row>
    <row r="191" spans="1:8">
      <c r="A191" t="s">
        <v>86</v>
      </c>
      <c r="B191" t="s">
        <v>114</v>
      </c>
      <c r="C191" t="s">
        <v>25</v>
      </c>
      <c r="D191" t="s">
        <v>115</v>
      </c>
      <c r="E191" t="s">
        <v>37</v>
      </c>
      <c r="F191">
        <v>2010</v>
      </c>
      <c r="G191">
        <v>3.3892000000000002</v>
      </c>
      <c r="H191">
        <v>1</v>
      </c>
    </row>
    <row r="192" spans="1:8">
      <c r="A192" t="s">
        <v>86</v>
      </c>
      <c r="B192" t="s">
        <v>114</v>
      </c>
      <c r="C192" t="s">
        <v>25</v>
      </c>
      <c r="D192" t="s">
        <v>115</v>
      </c>
      <c r="E192" t="s">
        <v>37</v>
      </c>
      <c r="F192">
        <v>2020</v>
      </c>
      <c r="G192">
        <v>3.0421999999999998</v>
      </c>
      <c r="H192">
        <v>1</v>
      </c>
    </row>
    <row r="193" spans="1:8">
      <c r="A193" t="s">
        <v>86</v>
      </c>
      <c r="B193" t="s">
        <v>114</v>
      </c>
      <c r="C193" t="s">
        <v>25</v>
      </c>
      <c r="D193" t="s">
        <v>115</v>
      </c>
      <c r="E193" t="s">
        <v>37</v>
      </c>
      <c r="F193">
        <v>2030</v>
      </c>
      <c r="G193">
        <v>11.668200000000001</v>
      </c>
      <c r="H193">
        <v>1</v>
      </c>
    </row>
    <row r="194" spans="1:8">
      <c r="A194" t="s">
        <v>86</v>
      </c>
      <c r="B194" t="s">
        <v>114</v>
      </c>
      <c r="C194" t="s">
        <v>25</v>
      </c>
      <c r="D194" t="s">
        <v>115</v>
      </c>
      <c r="E194" t="s">
        <v>37</v>
      </c>
      <c r="F194">
        <v>2040</v>
      </c>
      <c r="G194">
        <v>21.437100000000001</v>
      </c>
      <c r="H194">
        <v>1</v>
      </c>
    </row>
    <row r="195" spans="1:8">
      <c r="A195" t="s">
        <v>86</v>
      </c>
      <c r="B195" t="s">
        <v>114</v>
      </c>
      <c r="C195" t="s">
        <v>25</v>
      </c>
      <c r="D195" t="s">
        <v>115</v>
      </c>
      <c r="E195" t="s">
        <v>37</v>
      </c>
      <c r="F195">
        <v>2050</v>
      </c>
      <c r="G195">
        <v>33.826999999999998</v>
      </c>
      <c r="H195">
        <v>1</v>
      </c>
    </row>
    <row r="196" spans="1:8">
      <c r="A196" t="s">
        <v>86</v>
      </c>
      <c r="B196" t="s">
        <v>114</v>
      </c>
      <c r="C196" t="s">
        <v>25</v>
      </c>
      <c r="D196" t="s">
        <v>115</v>
      </c>
      <c r="E196" t="s">
        <v>37</v>
      </c>
      <c r="F196">
        <v>2060</v>
      </c>
      <c r="G196">
        <v>40.623199999999997</v>
      </c>
      <c r="H196">
        <v>1</v>
      </c>
    </row>
    <row r="197" spans="1:8">
      <c r="A197" t="s">
        <v>86</v>
      </c>
      <c r="B197" t="s">
        <v>114</v>
      </c>
      <c r="C197" t="s">
        <v>25</v>
      </c>
      <c r="D197" t="s">
        <v>115</v>
      </c>
      <c r="E197" t="s">
        <v>37</v>
      </c>
      <c r="F197">
        <v>2070</v>
      </c>
      <c r="G197">
        <v>41.029299999999999</v>
      </c>
      <c r="H197">
        <v>1</v>
      </c>
    </row>
    <row r="198" spans="1:8">
      <c r="A198" t="s">
        <v>86</v>
      </c>
      <c r="B198" t="s">
        <v>114</v>
      </c>
      <c r="C198" t="s">
        <v>25</v>
      </c>
      <c r="D198" t="s">
        <v>115</v>
      </c>
      <c r="E198" t="s">
        <v>37</v>
      </c>
      <c r="F198">
        <v>2080</v>
      </c>
      <c r="G198">
        <v>52.423099999999998</v>
      </c>
      <c r="H198">
        <v>1</v>
      </c>
    </row>
    <row r="199" spans="1:8">
      <c r="A199" t="s">
        <v>86</v>
      </c>
      <c r="B199" t="s">
        <v>114</v>
      </c>
      <c r="C199" t="s">
        <v>25</v>
      </c>
      <c r="D199" t="s">
        <v>115</v>
      </c>
      <c r="E199" t="s">
        <v>37</v>
      </c>
      <c r="F199">
        <v>2090</v>
      </c>
      <c r="G199">
        <v>56.773899999999998</v>
      </c>
      <c r="H199">
        <v>1</v>
      </c>
    </row>
    <row r="200" spans="1:8">
      <c r="A200" t="s">
        <v>86</v>
      </c>
      <c r="B200" t="s">
        <v>114</v>
      </c>
      <c r="C200" t="s">
        <v>25</v>
      </c>
      <c r="D200" t="s">
        <v>116</v>
      </c>
      <c r="E200" t="s">
        <v>37</v>
      </c>
      <c r="F200">
        <v>2010</v>
      </c>
      <c r="G200">
        <v>0.34389999999999998</v>
      </c>
      <c r="H200">
        <v>1</v>
      </c>
    </row>
    <row r="201" spans="1:8">
      <c r="A201" t="s">
        <v>86</v>
      </c>
      <c r="B201" t="s">
        <v>114</v>
      </c>
      <c r="C201" t="s">
        <v>25</v>
      </c>
      <c r="D201" t="s">
        <v>116</v>
      </c>
      <c r="E201" t="s">
        <v>37</v>
      </c>
      <c r="F201">
        <v>2020</v>
      </c>
      <c r="G201">
        <v>0.87209999999999999</v>
      </c>
      <c r="H201">
        <v>1</v>
      </c>
    </row>
    <row r="202" spans="1:8">
      <c r="A202" t="s">
        <v>86</v>
      </c>
      <c r="B202" t="s">
        <v>114</v>
      </c>
      <c r="C202" t="s">
        <v>25</v>
      </c>
      <c r="D202" t="s">
        <v>116</v>
      </c>
      <c r="E202" t="s">
        <v>37</v>
      </c>
      <c r="F202">
        <v>2030</v>
      </c>
      <c r="G202">
        <v>1.9636</v>
      </c>
      <c r="H202">
        <v>1</v>
      </c>
    </row>
    <row r="203" spans="1:8">
      <c r="A203" t="s">
        <v>86</v>
      </c>
      <c r="B203" t="s">
        <v>114</v>
      </c>
      <c r="C203" t="s">
        <v>25</v>
      </c>
      <c r="D203" t="s">
        <v>116</v>
      </c>
      <c r="E203" t="s">
        <v>37</v>
      </c>
      <c r="F203">
        <v>2040</v>
      </c>
      <c r="G203">
        <v>4.2931999999999997</v>
      </c>
      <c r="H203">
        <v>1</v>
      </c>
    </row>
    <row r="204" spans="1:8">
      <c r="A204" t="s">
        <v>86</v>
      </c>
      <c r="B204" t="s">
        <v>114</v>
      </c>
      <c r="C204" t="s">
        <v>25</v>
      </c>
      <c r="D204" t="s">
        <v>116</v>
      </c>
      <c r="E204" t="s">
        <v>37</v>
      </c>
      <c r="F204">
        <v>2050</v>
      </c>
      <c r="G204">
        <v>9.6051000000000002</v>
      </c>
      <c r="H204">
        <v>1</v>
      </c>
    </row>
    <row r="205" spans="1:8">
      <c r="A205" t="s">
        <v>86</v>
      </c>
      <c r="B205" t="s">
        <v>114</v>
      </c>
      <c r="C205" t="s">
        <v>25</v>
      </c>
      <c r="D205" t="s">
        <v>116</v>
      </c>
      <c r="E205" t="s">
        <v>37</v>
      </c>
      <c r="F205">
        <v>2060</v>
      </c>
      <c r="G205">
        <v>31.7392</v>
      </c>
      <c r="H205">
        <v>1</v>
      </c>
    </row>
    <row r="206" spans="1:8">
      <c r="A206" t="s">
        <v>86</v>
      </c>
      <c r="B206" t="s">
        <v>114</v>
      </c>
      <c r="C206" t="s">
        <v>25</v>
      </c>
      <c r="D206" t="s">
        <v>116</v>
      </c>
      <c r="E206" t="s">
        <v>37</v>
      </c>
      <c r="F206">
        <v>2070</v>
      </c>
      <c r="G206">
        <v>81.629800000000003</v>
      </c>
      <c r="H206">
        <v>1</v>
      </c>
    </row>
    <row r="207" spans="1:8">
      <c r="A207" t="s">
        <v>86</v>
      </c>
      <c r="B207" t="s">
        <v>114</v>
      </c>
      <c r="C207" t="s">
        <v>25</v>
      </c>
      <c r="D207" t="s">
        <v>116</v>
      </c>
      <c r="E207" t="s">
        <v>37</v>
      </c>
      <c r="F207">
        <v>2080</v>
      </c>
      <c r="G207">
        <v>90</v>
      </c>
      <c r="H207">
        <v>1</v>
      </c>
    </row>
    <row r="208" spans="1:8">
      <c r="A208" t="s">
        <v>86</v>
      </c>
      <c r="B208" t="s">
        <v>114</v>
      </c>
      <c r="C208" t="s">
        <v>25</v>
      </c>
      <c r="D208" t="s">
        <v>116</v>
      </c>
      <c r="E208" t="s">
        <v>37</v>
      </c>
      <c r="F208">
        <v>2090</v>
      </c>
      <c r="G208">
        <v>90</v>
      </c>
      <c r="H208">
        <v>1</v>
      </c>
    </row>
    <row r="209" spans="1:8">
      <c r="A209" t="s">
        <v>86</v>
      </c>
      <c r="B209" t="s">
        <v>114</v>
      </c>
      <c r="C209" t="s">
        <v>25</v>
      </c>
      <c r="D209" t="s">
        <v>117</v>
      </c>
      <c r="E209" t="s">
        <v>37</v>
      </c>
      <c r="F209">
        <v>2010</v>
      </c>
      <c r="G209">
        <v>0</v>
      </c>
      <c r="H209">
        <v>1</v>
      </c>
    </row>
    <row r="210" spans="1:8">
      <c r="A210" t="s">
        <v>86</v>
      </c>
      <c r="B210" t="s">
        <v>114</v>
      </c>
      <c r="C210" t="s">
        <v>25</v>
      </c>
      <c r="D210" t="s">
        <v>117</v>
      </c>
      <c r="E210" t="s">
        <v>37</v>
      </c>
      <c r="F210">
        <v>2020</v>
      </c>
      <c r="G210">
        <v>0</v>
      </c>
      <c r="H210">
        <v>1</v>
      </c>
    </row>
    <row r="211" spans="1:8">
      <c r="A211" t="s">
        <v>86</v>
      </c>
      <c r="B211" t="s">
        <v>114</v>
      </c>
      <c r="C211" t="s">
        <v>25</v>
      </c>
      <c r="D211" t="s">
        <v>117</v>
      </c>
      <c r="E211" t="s">
        <v>37</v>
      </c>
      <c r="F211">
        <v>2030</v>
      </c>
      <c r="G211">
        <v>0</v>
      </c>
      <c r="H211">
        <v>1</v>
      </c>
    </row>
    <row r="212" spans="1:8">
      <c r="A212" t="s">
        <v>86</v>
      </c>
      <c r="B212" t="s">
        <v>114</v>
      </c>
      <c r="C212" t="s">
        <v>25</v>
      </c>
      <c r="D212" t="s">
        <v>117</v>
      </c>
      <c r="E212" t="s">
        <v>37</v>
      </c>
      <c r="F212">
        <v>2040</v>
      </c>
      <c r="G212">
        <v>0</v>
      </c>
      <c r="H212">
        <v>1</v>
      </c>
    </row>
    <row r="213" spans="1:8">
      <c r="A213" t="s">
        <v>86</v>
      </c>
      <c r="B213" t="s">
        <v>114</v>
      </c>
      <c r="C213" t="s">
        <v>25</v>
      </c>
      <c r="D213" t="s">
        <v>117</v>
      </c>
      <c r="E213" t="s">
        <v>37</v>
      </c>
      <c r="F213">
        <v>2050</v>
      </c>
      <c r="G213">
        <v>0</v>
      </c>
      <c r="H213">
        <v>1</v>
      </c>
    </row>
    <row r="214" spans="1:8">
      <c r="A214" t="s">
        <v>86</v>
      </c>
      <c r="B214" t="s">
        <v>114</v>
      </c>
      <c r="C214" t="s">
        <v>25</v>
      </c>
      <c r="D214" t="s">
        <v>117</v>
      </c>
      <c r="E214" t="s">
        <v>37</v>
      </c>
      <c r="F214">
        <v>2060</v>
      </c>
      <c r="G214">
        <v>0</v>
      </c>
      <c r="H214">
        <v>1</v>
      </c>
    </row>
    <row r="215" spans="1:8">
      <c r="A215" t="s">
        <v>86</v>
      </c>
      <c r="B215" t="s">
        <v>114</v>
      </c>
      <c r="C215" t="s">
        <v>25</v>
      </c>
      <c r="D215" t="s">
        <v>117</v>
      </c>
      <c r="E215" t="s">
        <v>37</v>
      </c>
      <c r="F215">
        <v>2070</v>
      </c>
      <c r="G215">
        <v>0</v>
      </c>
      <c r="H215">
        <v>1</v>
      </c>
    </row>
    <row r="216" spans="1:8">
      <c r="A216" t="s">
        <v>86</v>
      </c>
      <c r="B216" t="s">
        <v>114</v>
      </c>
      <c r="C216" t="s">
        <v>25</v>
      </c>
      <c r="D216" t="s">
        <v>117</v>
      </c>
      <c r="E216" t="s">
        <v>37</v>
      </c>
      <c r="F216">
        <v>2080</v>
      </c>
      <c r="G216">
        <v>0</v>
      </c>
      <c r="H216">
        <v>1</v>
      </c>
    </row>
    <row r="217" spans="1:8">
      <c r="A217" t="s">
        <v>86</v>
      </c>
      <c r="B217" t="s">
        <v>114</v>
      </c>
      <c r="C217" t="s">
        <v>25</v>
      </c>
      <c r="D217" t="s">
        <v>117</v>
      </c>
      <c r="E217" t="s">
        <v>37</v>
      </c>
      <c r="F217">
        <v>2090</v>
      </c>
      <c r="G217">
        <v>0</v>
      </c>
      <c r="H217">
        <v>1</v>
      </c>
    </row>
    <row r="218" spans="1:8">
      <c r="A218" t="s">
        <v>87</v>
      </c>
      <c r="B218" t="s">
        <v>113</v>
      </c>
      <c r="C218" t="s">
        <v>20</v>
      </c>
      <c r="D218" t="s">
        <v>159</v>
      </c>
      <c r="E218" t="s">
        <v>37</v>
      </c>
      <c r="F218">
        <v>2010</v>
      </c>
      <c r="G218">
        <v>2.2999999999999998</v>
      </c>
      <c r="H218">
        <v>1</v>
      </c>
    </row>
    <row r="219" spans="1:8">
      <c r="A219" t="s">
        <v>87</v>
      </c>
      <c r="B219" t="s">
        <v>113</v>
      </c>
      <c r="C219" t="s">
        <v>20</v>
      </c>
      <c r="D219" t="s">
        <v>159</v>
      </c>
      <c r="E219" t="s">
        <v>37</v>
      </c>
      <c r="F219">
        <v>2020</v>
      </c>
      <c r="G219">
        <v>1.62</v>
      </c>
      <c r="H219">
        <v>1</v>
      </c>
    </row>
    <row r="220" spans="1:8">
      <c r="A220" t="s">
        <v>87</v>
      </c>
      <c r="B220" t="s">
        <v>113</v>
      </c>
      <c r="C220" t="s">
        <v>20</v>
      </c>
      <c r="D220" t="s">
        <v>159</v>
      </c>
      <c r="E220" t="s">
        <v>37</v>
      </c>
      <c r="F220">
        <v>2030</v>
      </c>
      <c r="G220">
        <v>1.82</v>
      </c>
      <c r="H220">
        <v>1</v>
      </c>
    </row>
    <row r="221" spans="1:8">
      <c r="A221" t="s">
        <v>87</v>
      </c>
      <c r="B221" t="s">
        <v>113</v>
      </c>
      <c r="C221" t="s">
        <v>20</v>
      </c>
      <c r="D221" t="s">
        <v>159</v>
      </c>
      <c r="E221" t="s">
        <v>37</v>
      </c>
      <c r="F221">
        <v>2040</v>
      </c>
      <c r="G221">
        <v>1.89</v>
      </c>
      <c r="H221">
        <v>1</v>
      </c>
    </row>
    <row r="222" spans="1:8">
      <c r="A222" t="s">
        <v>87</v>
      </c>
      <c r="B222" t="s">
        <v>113</v>
      </c>
      <c r="C222" t="s">
        <v>20</v>
      </c>
      <c r="D222" t="s">
        <v>159</v>
      </c>
      <c r="E222" t="s">
        <v>37</v>
      </c>
      <c r="F222">
        <v>2050</v>
      </c>
      <c r="G222">
        <v>2.96</v>
      </c>
      <c r="H222">
        <v>1</v>
      </c>
    </row>
    <row r="223" spans="1:8">
      <c r="A223" t="s">
        <v>87</v>
      </c>
      <c r="B223" t="s">
        <v>113</v>
      </c>
      <c r="C223" t="s">
        <v>20</v>
      </c>
      <c r="D223" t="s">
        <v>159</v>
      </c>
      <c r="E223" t="s">
        <v>37</v>
      </c>
      <c r="F223">
        <v>2060</v>
      </c>
      <c r="G223">
        <v>1.81</v>
      </c>
      <c r="H223">
        <v>1</v>
      </c>
    </row>
    <row r="224" spans="1:8">
      <c r="A224" t="s">
        <v>87</v>
      </c>
      <c r="B224" t="s">
        <v>113</v>
      </c>
      <c r="C224" t="s">
        <v>20</v>
      </c>
      <c r="D224" t="s">
        <v>159</v>
      </c>
      <c r="E224" t="s">
        <v>37</v>
      </c>
      <c r="F224">
        <v>2070</v>
      </c>
      <c r="G224">
        <v>2.2799999999999998</v>
      </c>
      <c r="H224">
        <v>1</v>
      </c>
    </row>
    <row r="225" spans="1:8">
      <c r="A225" t="s">
        <v>87</v>
      </c>
      <c r="B225" t="s">
        <v>113</v>
      </c>
      <c r="C225" t="s">
        <v>20</v>
      </c>
      <c r="D225" t="s">
        <v>159</v>
      </c>
      <c r="E225" t="s">
        <v>37</v>
      </c>
      <c r="F225">
        <v>2080</v>
      </c>
      <c r="G225">
        <v>2.73</v>
      </c>
      <c r="H225">
        <v>1</v>
      </c>
    </row>
    <row r="226" spans="1:8">
      <c r="A226" t="s">
        <v>87</v>
      </c>
      <c r="B226" t="s">
        <v>113</v>
      </c>
      <c r="C226" t="s">
        <v>20</v>
      </c>
      <c r="D226" t="s">
        <v>159</v>
      </c>
      <c r="E226" t="s">
        <v>37</v>
      </c>
      <c r="F226">
        <v>2090</v>
      </c>
      <c r="G226">
        <v>2.6</v>
      </c>
      <c r="H226">
        <v>1</v>
      </c>
    </row>
    <row r="227" spans="1:8">
      <c r="A227" t="s">
        <v>87</v>
      </c>
      <c r="B227" t="s">
        <v>113</v>
      </c>
      <c r="C227" t="s">
        <v>20</v>
      </c>
      <c r="D227" t="s">
        <v>31</v>
      </c>
      <c r="E227" t="s">
        <v>37</v>
      </c>
      <c r="F227">
        <v>2010</v>
      </c>
      <c r="G227">
        <v>0.59</v>
      </c>
      <c r="H227">
        <v>1</v>
      </c>
    </row>
    <row r="228" spans="1:8">
      <c r="A228" t="s">
        <v>87</v>
      </c>
      <c r="B228" t="s">
        <v>113</v>
      </c>
      <c r="C228" t="s">
        <v>20</v>
      </c>
      <c r="D228" t="s">
        <v>31</v>
      </c>
      <c r="E228" t="s">
        <v>37</v>
      </c>
      <c r="F228">
        <v>2020</v>
      </c>
      <c r="G228">
        <v>0.81</v>
      </c>
      <c r="H228">
        <v>1</v>
      </c>
    </row>
    <row r="229" spans="1:8">
      <c r="A229" t="s">
        <v>87</v>
      </c>
      <c r="B229" t="s">
        <v>113</v>
      </c>
      <c r="C229" t="s">
        <v>20</v>
      </c>
      <c r="D229" t="s">
        <v>31</v>
      </c>
      <c r="E229" t="s">
        <v>37</v>
      </c>
      <c r="F229">
        <v>2030</v>
      </c>
      <c r="G229">
        <v>0.71</v>
      </c>
      <c r="H229">
        <v>1</v>
      </c>
    </row>
    <row r="230" spans="1:8">
      <c r="A230" t="s">
        <v>87</v>
      </c>
      <c r="B230" t="s">
        <v>113</v>
      </c>
      <c r="C230" t="s">
        <v>20</v>
      </c>
      <c r="D230" t="s">
        <v>31</v>
      </c>
      <c r="E230" t="s">
        <v>37</v>
      </c>
      <c r="F230">
        <v>2040</v>
      </c>
      <c r="G230">
        <v>0.98</v>
      </c>
      <c r="H230">
        <v>1</v>
      </c>
    </row>
    <row r="231" spans="1:8">
      <c r="A231" t="s">
        <v>87</v>
      </c>
      <c r="B231" t="s">
        <v>113</v>
      </c>
      <c r="C231" t="s">
        <v>20</v>
      </c>
      <c r="D231" t="s">
        <v>31</v>
      </c>
      <c r="E231" t="s">
        <v>37</v>
      </c>
      <c r="F231">
        <v>2050</v>
      </c>
      <c r="G231">
        <v>0.97</v>
      </c>
      <c r="H231">
        <v>1</v>
      </c>
    </row>
    <row r="232" spans="1:8">
      <c r="A232" t="s">
        <v>87</v>
      </c>
      <c r="B232" t="s">
        <v>113</v>
      </c>
      <c r="C232" t="s">
        <v>20</v>
      </c>
      <c r="D232" t="s">
        <v>31</v>
      </c>
      <c r="E232" t="s">
        <v>37</v>
      </c>
      <c r="F232">
        <v>2060</v>
      </c>
      <c r="G232">
        <v>1.1299999999999999</v>
      </c>
      <c r="H232">
        <v>1</v>
      </c>
    </row>
    <row r="233" spans="1:8">
      <c r="A233" t="s">
        <v>87</v>
      </c>
      <c r="B233" t="s">
        <v>113</v>
      </c>
      <c r="C233" t="s">
        <v>20</v>
      </c>
      <c r="D233" t="s">
        <v>31</v>
      </c>
      <c r="E233" t="s">
        <v>37</v>
      </c>
      <c r="F233">
        <v>2070</v>
      </c>
      <c r="G233">
        <v>1</v>
      </c>
      <c r="H233">
        <v>1</v>
      </c>
    </row>
    <row r="234" spans="1:8">
      <c r="A234" t="s">
        <v>87</v>
      </c>
      <c r="B234" t="s">
        <v>113</v>
      </c>
      <c r="C234" t="s">
        <v>20</v>
      </c>
      <c r="D234" t="s">
        <v>31</v>
      </c>
      <c r="E234" t="s">
        <v>37</v>
      </c>
      <c r="F234">
        <v>2080</v>
      </c>
      <c r="G234">
        <v>1.29</v>
      </c>
      <c r="H234">
        <v>1</v>
      </c>
    </row>
    <row r="235" spans="1:8">
      <c r="A235" t="s">
        <v>87</v>
      </c>
      <c r="B235" t="s">
        <v>113</v>
      </c>
      <c r="C235" t="s">
        <v>20</v>
      </c>
      <c r="D235" t="s">
        <v>31</v>
      </c>
      <c r="E235" t="s">
        <v>37</v>
      </c>
      <c r="F235">
        <v>2090</v>
      </c>
      <c r="G235">
        <v>1.0900000000000001</v>
      </c>
      <c r="H235">
        <v>1</v>
      </c>
    </row>
    <row r="236" spans="1:8">
      <c r="A236" t="s">
        <v>87</v>
      </c>
      <c r="B236" t="s">
        <v>113</v>
      </c>
      <c r="C236" t="s">
        <v>23</v>
      </c>
      <c r="D236" t="s">
        <v>158</v>
      </c>
      <c r="E236" t="s">
        <v>37</v>
      </c>
      <c r="F236">
        <v>2010</v>
      </c>
      <c r="G236">
        <v>1.48</v>
      </c>
      <c r="H236">
        <v>1</v>
      </c>
    </row>
    <row r="237" spans="1:8">
      <c r="A237" t="s">
        <v>87</v>
      </c>
      <c r="B237" t="s">
        <v>113</v>
      </c>
      <c r="C237" t="s">
        <v>23</v>
      </c>
      <c r="D237" t="s">
        <v>158</v>
      </c>
      <c r="E237" t="s">
        <v>37</v>
      </c>
      <c r="F237">
        <v>2020</v>
      </c>
      <c r="G237">
        <v>2.04</v>
      </c>
      <c r="H237">
        <v>1</v>
      </c>
    </row>
    <row r="238" spans="1:8">
      <c r="A238" t="s">
        <v>87</v>
      </c>
      <c r="B238" t="s">
        <v>113</v>
      </c>
      <c r="C238" t="s">
        <v>23</v>
      </c>
      <c r="D238" t="s">
        <v>158</v>
      </c>
      <c r="E238" t="s">
        <v>37</v>
      </c>
      <c r="F238">
        <v>2030</v>
      </c>
      <c r="G238">
        <v>1.77</v>
      </c>
      <c r="H238">
        <v>1</v>
      </c>
    </row>
    <row r="239" spans="1:8">
      <c r="A239" t="s">
        <v>87</v>
      </c>
      <c r="B239" t="s">
        <v>113</v>
      </c>
      <c r="C239" t="s">
        <v>23</v>
      </c>
      <c r="D239" t="s">
        <v>158</v>
      </c>
      <c r="E239" t="s">
        <v>37</v>
      </c>
      <c r="F239">
        <v>2040</v>
      </c>
      <c r="G239">
        <v>2.4900000000000002</v>
      </c>
      <c r="H239">
        <v>1</v>
      </c>
    </row>
    <row r="240" spans="1:8">
      <c r="A240" t="s">
        <v>87</v>
      </c>
      <c r="B240" t="s">
        <v>113</v>
      </c>
      <c r="C240" t="s">
        <v>23</v>
      </c>
      <c r="D240" t="s">
        <v>158</v>
      </c>
      <c r="E240" t="s">
        <v>37</v>
      </c>
      <c r="F240">
        <v>2050</v>
      </c>
      <c r="G240">
        <v>1.89</v>
      </c>
      <c r="H240">
        <v>1</v>
      </c>
    </row>
    <row r="241" spans="1:8">
      <c r="A241" t="s">
        <v>87</v>
      </c>
      <c r="B241" t="s">
        <v>113</v>
      </c>
      <c r="C241" t="s">
        <v>23</v>
      </c>
      <c r="D241" t="s">
        <v>158</v>
      </c>
      <c r="E241" t="s">
        <v>37</v>
      </c>
      <c r="F241">
        <v>2060</v>
      </c>
      <c r="G241">
        <v>1.86</v>
      </c>
      <c r="H241">
        <v>1</v>
      </c>
    </row>
    <row r="242" spans="1:8">
      <c r="A242" t="s">
        <v>87</v>
      </c>
      <c r="B242" t="s">
        <v>113</v>
      </c>
      <c r="C242" t="s">
        <v>23</v>
      </c>
      <c r="D242" t="s">
        <v>158</v>
      </c>
      <c r="E242" t="s">
        <v>37</v>
      </c>
      <c r="F242">
        <v>2070</v>
      </c>
      <c r="G242">
        <v>2.83</v>
      </c>
      <c r="H242">
        <v>1</v>
      </c>
    </row>
    <row r="243" spans="1:8">
      <c r="A243" t="s">
        <v>87</v>
      </c>
      <c r="B243" t="s">
        <v>113</v>
      </c>
      <c r="C243" t="s">
        <v>23</v>
      </c>
      <c r="D243" t="s">
        <v>158</v>
      </c>
      <c r="E243" t="s">
        <v>37</v>
      </c>
      <c r="F243">
        <v>2080</v>
      </c>
      <c r="G243">
        <v>2.4900000000000002</v>
      </c>
      <c r="H243">
        <v>1</v>
      </c>
    </row>
    <row r="244" spans="1:8">
      <c r="A244" t="s">
        <v>87</v>
      </c>
      <c r="B244" t="s">
        <v>113</v>
      </c>
      <c r="C244" t="s">
        <v>23</v>
      </c>
      <c r="D244" t="s">
        <v>158</v>
      </c>
      <c r="E244" t="s">
        <v>37</v>
      </c>
      <c r="F244">
        <v>2090</v>
      </c>
      <c r="G244">
        <v>1.99</v>
      </c>
      <c r="H244">
        <v>1</v>
      </c>
    </row>
    <row r="245" spans="1:8">
      <c r="A245" t="s">
        <v>87</v>
      </c>
      <c r="B245" t="s">
        <v>114</v>
      </c>
      <c r="C245" t="s">
        <v>25</v>
      </c>
      <c r="D245" t="s">
        <v>115</v>
      </c>
      <c r="E245" t="s">
        <v>37</v>
      </c>
      <c r="F245">
        <v>2010</v>
      </c>
      <c r="G245">
        <v>3.3892000000000002</v>
      </c>
      <c r="H245">
        <v>1</v>
      </c>
    </row>
    <row r="246" spans="1:8">
      <c r="A246" t="s">
        <v>87</v>
      </c>
      <c r="B246" t="s">
        <v>114</v>
      </c>
      <c r="C246" t="s">
        <v>25</v>
      </c>
      <c r="D246" t="s">
        <v>115</v>
      </c>
      <c r="E246" t="s">
        <v>37</v>
      </c>
      <c r="F246">
        <v>2020</v>
      </c>
      <c r="G246">
        <v>3.0421999999999998</v>
      </c>
      <c r="H246">
        <v>1</v>
      </c>
    </row>
    <row r="247" spans="1:8">
      <c r="A247" t="s">
        <v>87</v>
      </c>
      <c r="B247" t="s">
        <v>114</v>
      </c>
      <c r="C247" t="s">
        <v>25</v>
      </c>
      <c r="D247" t="s">
        <v>115</v>
      </c>
      <c r="E247" t="s">
        <v>37</v>
      </c>
      <c r="F247">
        <v>2030</v>
      </c>
      <c r="G247">
        <v>11.668200000000001</v>
      </c>
      <c r="H247">
        <v>1</v>
      </c>
    </row>
    <row r="248" spans="1:8">
      <c r="A248" t="s">
        <v>87</v>
      </c>
      <c r="B248" t="s">
        <v>114</v>
      </c>
      <c r="C248" t="s">
        <v>25</v>
      </c>
      <c r="D248" t="s">
        <v>115</v>
      </c>
      <c r="E248" t="s">
        <v>37</v>
      </c>
      <c r="F248">
        <v>2040</v>
      </c>
      <c r="G248">
        <v>21.437100000000001</v>
      </c>
      <c r="H248">
        <v>1</v>
      </c>
    </row>
    <row r="249" spans="1:8">
      <c r="A249" t="s">
        <v>87</v>
      </c>
      <c r="B249" t="s">
        <v>114</v>
      </c>
      <c r="C249" t="s">
        <v>25</v>
      </c>
      <c r="D249" t="s">
        <v>115</v>
      </c>
      <c r="E249" t="s">
        <v>37</v>
      </c>
      <c r="F249">
        <v>2050</v>
      </c>
      <c r="G249">
        <v>33.826999999999998</v>
      </c>
      <c r="H249">
        <v>1</v>
      </c>
    </row>
    <row r="250" spans="1:8">
      <c r="A250" t="s">
        <v>87</v>
      </c>
      <c r="B250" t="s">
        <v>114</v>
      </c>
      <c r="C250" t="s">
        <v>25</v>
      </c>
      <c r="D250" t="s">
        <v>115</v>
      </c>
      <c r="E250" t="s">
        <v>37</v>
      </c>
      <c r="F250">
        <v>2060</v>
      </c>
      <c r="G250">
        <v>40.623199999999997</v>
      </c>
      <c r="H250">
        <v>1</v>
      </c>
    </row>
    <row r="251" spans="1:8">
      <c r="A251" t="s">
        <v>87</v>
      </c>
      <c r="B251" t="s">
        <v>114</v>
      </c>
      <c r="C251" t="s">
        <v>25</v>
      </c>
      <c r="D251" t="s">
        <v>115</v>
      </c>
      <c r="E251" t="s">
        <v>37</v>
      </c>
      <c r="F251">
        <v>2070</v>
      </c>
      <c r="G251">
        <v>41.029299999999999</v>
      </c>
      <c r="H251">
        <v>1</v>
      </c>
    </row>
    <row r="252" spans="1:8">
      <c r="A252" t="s">
        <v>87</v>
      </c>
      <c r="B252" t="s">
        <v>114</v>
      </c>
      <c r="C252" t="s">
        <v>25</v>
      </c>
      <c r="D252" t="s">
        <v>115</v>
      </c>
      <c r="E252" t="s">
        <v>37</v>
      </c>
      <c r="F252">
        <v>2080</v>
      </c>
      <c r="G252">
        <v>52.423099999999998</v>
      </c>
      <c r="H252">
        <v>1</v>
      </c>
    </row>
    <row r="253" spans="1:8">
      <c r="A253" t="s">
        <v>87</v>
      </c>
      <c r="B253" t="s">
        <v>114</v>
      </c>
      <c r="C253" t="s">
        <v>25</v>
      </c>
      <c r="D253" t="s">
        <v>115</v>
      </c>
      <c r="E253" t="s">
        <v>37</v>
      </c>
      <c r="F253">
        <v>2090</v>
      </c>
      <c r="G253">
        <v>56.773899999999998</v>
      </c>
      <c r="H253">
        <v>1</v>
      </c>
    </row>
    <row r="254" spans="1:8">
      <c r="A254" t="s">
        <v>87</v>
      </c>
      <c r="B254" t="s">
        <v>114</v>
      </c>
      <c r="C254" t="s">
        <v>25</v>
      </c>
      <c r="D254" t="s">
        <v>116</v>
      </c>
      <c r="E254" t="s">
        <v>37</v>
      </c>
      <c r="F254">
        <v>2010</v>
      </c>
      <c r="G254">
        <v>0.34389999999999998</v>
      </c>
      <c r="H254">
        <v>1</v>
      </c>
    </row>
    <row r="255" spans="1:8">
      <c r="A255" t="s">
        <v>87</v>
      </c>
      <c r="B255" t="s">
        <v>114</v>
      </c>
      <c r="C255" t="s">
        <v>25</v>
      </c>
      <c r="D255" t="s">
        <v>116</v>
      </c>
      <c r="E255" t="s">
        <v>37</v>
      </c>
      <c r="F255">
        <v>2020</v>
      </c>
      <c r="G255">
        <v>0.87209999999999999</v>
      </c>
      <c r="H255">
        <v>1</v>
      </c>
    </row>
    <row r="256" spans="1:8">
      <c r="A256" t="s">
        <v>87</v>
      </c>
      <c r="B256" t="s">
        <v>114</v>
      </c>
      <c r="C256" t="s">
        <v>25</v>
      </c>
      <c r="D256" t="s">
        <v>116</v>
      </c>
      <c r="E256" t="s">
        <v>37</v>
      </c>
      <c r="F256">
        <v>2030</v>
      </c>
      <c r="G256">
        <v>1.9636</v>
      </c>
      <c r="H256">
        <v>1</v>
      </c>
    </row>
    <row r="257" spans="1:8">
      <c r="A257" t="s">
        <v>87</v>
      </c>
      <c r="B257" t="s">
        <v>114</v>
      </c>
      <c r="C257" t="s">
        <v>25</v>
      </c>
      <c r="D257" t="s">
        <v>116</v>
      </c>
      <c r="E257" t="s">
        <v>37</v>
      </c>
      <c r="F257">
        <v>2040</v>
      </c>
      <c r="G257">
        <v>4.2931999999999997</v>
      </c>
      <c r="H257">
        <v>1</v>
      </c>
    </row>
    <row r="258" spans="1:8">
      <c r="A258" t="s">
        <v>87</v>
      </c>
      <c r="B258" t="s">
        <v>114</v>
      </c>
      <c r="C258" t="s">
        <v>25</v>
      </c>
      <c r="D258" t="s">
        <v>116</v>
      </c>
      <c r="E258" t="s">
        <v>37</v>
      </c>
      <c r="F258">
        <v>2050</v>
      </c>
      <c r="G258">
        <v>9.6051000000000002</v>
      </c>
      <c r="H258">
        <v>1</v>
      </c>
    </row>
    <row r="259" spans="1:8">
      <c r="A259" t="s">
        <v>87</v>
      </c>
      <c r="B259" t="s">
        <v>114</v>
      </c>
      <c r="C259" t="s">
        <v>25</v>
      </c>
      <c r="D259" t="s">
        <v>116</v>
      </c>
      <c r="E259" t="s">
        <v>37</v>
      </c>
      <c r="F259">
        <v>2060</v>
      </c>
      <c r="G259">
        <v>31.7392</v>
      </c>
      <c r="H259">
        <v>1</v>
      </c>
    </row>
    <row r="260" spans="1:8">
      <c r="A260" t="s">
        <v>87</v>
      </c>
      <c r="B260" t="s">
        <v>114</v>
      </c>
      <c r="C260" t="s">
        <v>25</v>
      </c>
      <c r="D260" t="s">
        <v>116</v>
      </c>
      <c r="E260" t="s">
        <v>37</v>
      </c>
      <c r="F260">
        <v>2070</v>
      </c>
      <c r="G260">
        <v>81.629800000000003</v>
      </c>
      <c r="H260">
        <v>1</v>
      </c>
    </row>
    <row r="261" spans="1:8">
      <c r="A261" t="s">
        <v>87</v>
      </c>
      <c r="B261" t="s">
        <v>114</v>
      </c>
      <c r="C261" t="s">
        <v>25</v>
      </c>
      <c r="D261" t="s">
        <v>116</v>
      </c>
      <c r="E261" t="s">
        <v>37</v>
      </c>
      <c r="F261">
        <v>2080</v>
      </c>
      <c r="G261">
        <v>90</v>
      </c>
      <c r="H261">
        <v>1</v>
      </c>
    </row>
    <row r="262" spans="1:8">
      <c r="A262" t="s">
        <v>87</v>
      </c>
      <c r="B262" t="s">
        <v>114</v>
      </c>
      <c r="C262" t="s">
        <v>25</v>
      </c>
      <c r="D262" t="s">
        <v>116</v>
      </c>
      <c r="E262" t="s">
        <v>37</v>
      </c>
      <c r="F262">
        <v>2090</v>
      </c>
      <c r="G262">
        <v>90</v>
      </c>
      <c r="H262">
        <v>1</v>
      </c>
    </row>
    <row r="263" spans="1:8">
      <c r="A263" t="s">
        <v>87</v>
      </c>
      <c r="B263" t="s">
        <v>114</v>
      </c>
      <c r="C263" t="s">
        <v>25</v>
      </c>
      <c r="D263" t="s">
        <v>117</v>
      </c>
      <c r="E263" t="s">
        <v>37</v>
      </c>
      <c r="F263">
        <v>2010</v>
      </c>
      <c r="G263">
        <v>0</v>
      </c>
      <c r="H263">
        <v>1</v>
      </c>
    </row>
    <row r="264" spans="1:8">
      <c r="A264" t="s">
        <v>87</v>
      </c>
      <c r="B264" t="s">
        <v>114</v>
      </c>
      <c r="C264" t="s">
        <v>25</v>
      </c>
      <c r="D264" t="s">
        <v>117</v>
      </c>
      <c r="E264" t="s">
        <v>37</v>
      </c>
      <c r="F264">
        <v>2020</v>
      </c>
      <c r="G264">
        <v>0</v>
      </c>
      <c r="H264">
        <v>1</v>
      </c>
    </row>
    <row r="265" spans="1:8">
      <c r="A265" t="s">
        <v>87</v>
      </c>
      <c r="B265" t="s">
        <v>114</v>
      </c>
      <c r="C265" t="s">
        <v>25</v>
      </c>
      <c r="D265" t="s">
        <v>117</v>
      </c>
      <c r="E265" t="s">
        <v>37</v>
      </c>
      <c r="F265">
        <v>2030</v>
      </c>
      <c r="G265">
        <v>0</v>
      </c>
      <c r="H265">
        <v>1</v>
      </c>
    </row>
    <row r="266" spans="1:8">
      <c r="A266" t="s">
        <v>87</v>
      </c>
      <c r="B266" t="s">
        <v>114</v>
      </c>
      <c r="C266" t="s">
        <v>25</v>
      </c>
      <c r="D266" t="s">
        <v>117</v>
      </c>
      <c r="E266" t="s">
        <v>37</v>
      </c>
      <c r="F266">
        <v>2040</v>
      </c>
      <c r="G266">
        <v>0</v>
      </c>
      <c r="H266">
        <v>1</v>
      </c>
    </row>
    <row r="267" spans="1:8">
      <c r="A267" t="s">
        <v>87</v>
      </c>
      <c r="B267" t="s">
        <v>114</v>
      </c>
      <c r="C267" t="s">
        <v>25</v>
      </c>
      <c r="D267" t="s">
        <v>117</v>
      </c>
      <c r="E267" t="s">
        <v>37</v>
      </c>
      <c r="F267">
        <v>2050</v>
      </c>
      <c r="G267">
        <v>0</v>
      </c>
      <c r="H267">
        <v>1</v>
      </c>
    </row>
    <row r="268" spans="1:8">
      <c r="A268" t="s">
        <v>87</v>
      </c>
      <c r="B268" t="s">
        <v>114</v>
      </c>
      <c r="C268" t="s">
        <v>25</v>
      </c>
      <c r="D268" t="s">
        <v>117</v>
      </c>
      <c r="E268" t="s">
        <v>37</v>
      </c>
      <c r="F268">
        <v>2060</v>
      </c>
      <c r="G268">
        <v>0</v>
      </c>
      <c r="H268">
        <v>1</v>
      </c>
    </row>
    <row r="269" spans="1:8">
      <c r="A269" t="s">
        <v>87</v>
      </c>
      <c r="B269" t="s">
        <v>114</v>
      </c>
      <c r="C269" t="s">
        <v>25</v>
      </c>
      <c r="D269" t="s">
        <v>117</v>
      </c>
      <c r="E269" t="s">
        <v>37</v>
      </c>
      <c r="F269">
        <v>2070</v>
      </c>
      <c r="G269">
        <v>0</v>
      </c>
      <c r="H269">
        <v>1</v>
      </c>
    </row>
    <row r="270" spans="1:8">
      <c r="A270" t="s">
        <v>87</v>
      </c>
      <c r="B270" t="s">
        <v>114</v>
      </c>
      <c r="C270" t="s">
        <v>25</v>
      </c>
      <c r="D270" t="s">
        <v>117</v>
      </c>
      <c r="E270" t="s">
        <v>37</v>
      </c>
      <c r="F270">
        <v>2080</v>
      </c>
      <c r="G270">
        <v>0</v>
      </c>
      <c r="H270">
        <v>1</v>
      </c>
    </row>
    <row r="271" spans="1:8">
      <c r="A271" t="s">
        <v>87</v>
      </c>
      <c r="B271" t="s">
        <v>114</v>
      </c>
      <c r="C271" t="s">
        <v>25</v>
      </c>
      <c r="D271" t="s">
        <v>117</v>
      </c>
      <c r="E271" t="s">
        <v>37</v>
      </c>
      <c r="F271">
        <v>2090</v>
      </c>
      <c r="G271">
        <v>0</v>
      </c>
      <c r="H271">
        <v>1</v>
      </c>
    </row>
    <row r="272" spans="1:8">
      <c r="A272" t="s">
        <v>82</v>
      </c>
      <c r="B272" t="s">
        <v>113</v>
      </c>
      <c r="C272" t="s">
        <v>20</v>
      </c>
      <c r="D272" t="s">
        <v>159</v>
      </c>
      <c r="E272" t="s">
        <v>37</v>
      </c>
      <c r="F272">
        <v>2010</v>
      </c>
      <c r="G272">
        <v>1.53</v>
      </c>
      <c r="H272">
        <v>1</v>
      </c>
    </row>
    <row r="273" spans="1:8">
      <c r="A273" t="s">
        <v>82</v>
      </c>
      <c r="B273" t="s">
        <v>113</v>
      </c>
      <c r="C273" t="s">
        <v>20</v>
      </c>
      <c r="D273" t="s">
        <v>159</v>
      </c>
      <c r="E273" t="s">
        <v>37</v>
      </c>
      <c r="F273">
        <v>2020</v>
      </c>
      <c r="G273">
        <v>1.52</v>
      </c>
      <c r="H273">
        <v>1</v>
      </c>
    </row>
    <row r="274" spans="1:8">
      <c r="A274" t="s">
        <v>82</v>
      </c>
      <c r="B274" t="s">
        <v>113</v>
      </c>
      <c r="C274" t="s">
        <v>20</v>
      </c>
      <c r="D274" t="s">
        <v>159</v>
      </c>
      <c r="E274" t="s">
        <v>37</v>
      </c>
      <c r="F274">
        <v>2030</v>
      </c>
      <c r="G274">
        <v>2.2799999999999998</v>
      </c>
      <c r="H274">
        <v>1</v>
      </c>
    </row>
    <row r="275" spans="1:8">
      <c r="A275" t="s">
        <v>82</v>
      </c>
      <c r="B275" t="s">
        <v>113</v>
      </c>
      <c r="C275" t="s">
        <v>20</v>
      </c>
      <c r="D275" t="s">
        <v>159</v>
      </c>
      <c r="E275" t="s">
        <v>37</v>
      </c>
      <c r="F275">
        <v>2040</v>
      </c>
      <c r="G275">
        <v>2.91</v>
      </c>
      <c r="H275">
        <v>1</v>
      </c>
    </row>
    <row r="276" spans="1:8">
      <c r="A276" t="s">
        <v>82</v>
      </c>
      <c r="B276" t="s">
        <v>113</v>
      </c>
      <c r="C276" t="s">
        <v>20</v>
      </c>
      <c r="D276" t="s">
        <v>159</v>
      </c>
      <c r="E276" t="s">
        <v>37</v>
      </c>
      <c r="F276">
        <v>2050</v>
      </c>
      <c r="G276">
        <v>2.27</v>
      </c>
      <c r="H276">
        <v>1</v>
      </c>
    </row>
    <row r="277" spans="1:8">
      <c r="A277" t="s">
        <v>82</v>
      </c>
      <c r="B277" t="s">
        <v>113</v>
      </c>
      <c r="C277" t="s">
        <v>20</v>
      </c>
      <c r="D277" t="s">
        <v>159</v>
      </c>
      <c r="E277" t="s">
        <v>37</v>
      </c>
      <c r="F277">
        <v>2060</v>
      </c>
      <c r="G277">
        <v>2.0499999999999998</v>
      </c>
      <c r="H277">
        <v>1</v>
      </c>
    </row>
    <row r="278" spans="1:8">
      <c r="A278" t="s">
        <v>82</v>
      </c>
      <c r="B278" t="s">
        <v>113</v>
      </c>
      <c r="C278" t="s">
        <v>20</v>
      </c>
      <c r="D278" t="s">
        <v>159</v>
      </c>
      <c r="E278" t="s">
        <v>37</v>
      </c>
      <c r="F278">
        <v>2070</v>
      </c>
      <c r="G278">
        <v>2.7</v>
      </c>
      <c r="H278">
        <v>1</v>
      </c>
    </row>
    <row r="279" spans="1:8">
      <c r="A279" t="s">
        <v>82</v>
      </c>
      <c r="B279" t="s">
        <v>113</v>
      </c>
      <c r="C279" t="s">
        <v>20</v>
      </c>
      <c r="D279" t="s">
        <v>159</v>
      </c>
      <c r="E279" t="s">
        <v>37</v>
      </c>
      <c r="F279">
        <v>2080</v>
      </c>
      <c r="G279">
        <v>2.0099999999999998</v>
      </c>
      <c r="H279">
        <v>1</v>
      </c>
    </row>
    <row r="280" spans="1:8">
      <c r="A280" t="s">
        <v>82</v>
      </c>
      <c r="B280" t="s">
        <v>113</v>
      </c>
      <c r="C280" t="s">
        <v>20</v>
      </c>
      <c r="D280" t="s">
        <v>159</v>
      </c>
      <c r="E280" t="s">
        <v>37</v>
      </c>
      <c r="F280">
        <v>2090</v>
      </c>
      <c r="G280">
        <v>2.3199999999999998</v>
      </c>
      <c r="H280">
        <v>1</v>
      </c>
    </row>
    <row r="281" spans="1:8">
      <c r="A281" t="s">
        <v>82</v>
      </c>
      <c r="B281" t="s">
        <v>113</v>
      </c>
      <c r="C281" t="s">
        <v>20</v>
      </c>
      <c r="D281" t="s">
        <v>31</v>
      </c>
      <c r="E281" t="s">
        <v>37</v>
      </c>
      <c r="F281">
        <v>2010</v>
      </c>
      <c r="G281">
        <v>0.76</v>
      </c>
      <c r="H281">
        <v>1</v>
      </c>
    </row>
    <row r="282" spans="1:8">
      <c r="A282" t="s">
        <v>82</v>
      </c>
      <c r="B282" t="s">
        <v>113</v>
      </c>
      <c r="C282" t="s">
        <v>20</v>
      </c>
      <c r="D282" t="s">
        <v>31</v>
      </c>
      <c r="E282" t="s">
        <v>37</v>
      </c>
      <c r="F282">
        <v>2020</v>
      </c>
      <c r="G282">
        <v>0.84</v>
      </c>
      <c r="H282">
        <v>1</v>
      </c>
    </row>
    <row r="283" spans="1:8">
      <c r="A283" t="s">
        <v>82</v>
      </c>
      <c r="B283" t="s">
        <v>113</v>
      </c>
      <c r="C283" t="s">
        <v>20</v>
      </c>
      <c r="D283" t="s">
        <v>31</v>
      </c>
      <c r="E283" t="s">
        <v>37</v>
      </c>
      <c r="F283">
        <v>2030</v>
      </c>
      <c r="G283">
        <v>0.81</v>
      </c>
      <c r="H283">
        <v>1</v>
      </c>
    </row>
    <row r="284" spans="1:8">
      <c r="A284" t="s">
        <v>82</v>
      </c>
      <c r="B284" t="s">
        <v>113</v>
      </c>
      <c r="C284" t="s">
        <v>20</v>
      </c>
      <c r="D284" t="s">
        <v>31</v>
      </c>
      <c r="E284" t="s">
        <v>37</v>
      </c>
      <c r="F284">
        <v>2040</v>
      </c>
      <c r="G284">
        <v>0.64</v>
      </c>
      <c r="H284">
        <v>1</v>
      </c>
    </row>
    <row r="285" spans="1:8">
      <c r="A285" t="s">
        <v>82</v>
      </c>
      <c r="B285" t="s">
        <v>113</v>
      </c>
      <c r="C285" t="s">
        <v>20</v>
      </c>
      <c r="D285" t="s">
        <v>31</v>
      </c>
      <c r="E285" t="s">
        <v>37</v>
      </c>
      <c r="F285">
        <v>2050</v>
      </c>
      <c r="G285">
        <v>0.97</v>
      </c>
      <c r="H285">
        <v>1</v>
      </c>
    </row>
    <row r="286" spans="1:8">
      <c r="A286" t="s">
        <v>82</v>
      </c>
      <c r="B286" t="s">
        <v>113</v>
      </c>
      <c r="C286" t="s">
        <v>20</v>
      </c>
      <c r="D286" t="s">
        <v>31</v>
      </c>
      <c r="E286" t="s">
        <v>37</v>
      </c>
      <c r="F286">
        <v>2060</v>
      </c>
      <c r="G286">
        <v>0.88</v>
      </c>
      <c r="H286">
        <v>1</v>
      </c>
    </row>
    <row r="287" spans="1:8">
      <c r="A287" t="s">
        <v>82</v>
      </c>
      <c r="B287" t="s">
        <v>113</v>
      </c>
      <c r="C287" t="s">
        <v>20</v>
      </c>
      <c r="D287" t="s">
        <v>31</v>
      </c>
      <c r="E287" t="s">
        <v>37</v>
      </c>
      <c r="F287">
        <v>2070</v>
      </c>
      <c r="G287">
        <v>1.06</v>
      </c>
      <c r="H287">
        <v>1</v>
      </c>
    </row>
    <row r="288" spans="1:8">
      <c r="A288" t="s">
        <v>82</v>
      </c>
      <c r="B288" t="s">
        <v>113</v>
      </c>
      <c r="C288" t="s">
        <v>20</v>
      </c>
      <c r="D288" t="s">
        <v>31</v>
      </c>
      <c r="E288" t="s">
        <v>37</v>
      </c>
      <c r="F288">
        <v>2080</v>
      </c>
      <c r="G288">
        <v>0.8</v>
      </c>
      <c r="H288">
        <v>1</v>
      </c>
    </row>
    <row r="289" spans="1:8">
      <c r="A289" t="s">
        <v>82</v>
      </c>
      <c r="B289" t="s">
        <v>113</v>
      </c>
      <c r="C289" t="s">
        <v>20</v>
      </c>
      <c r="D289" t="s">
        <v>31</v>
      </c>
      <c r="E289" t="s">
        <v>37</v>
      </c>
      <c r="F289">
        <v>2090</v>
      </c>
      <c r="G289">
        <v>0.78</v>
      </c>
      <c r="H289">
        <v>1</v>
      </c>
    </row>
    <row r="290" spans="1:8">
      <c r="A290" t="s">
        <v>82</v>
      </c>
      <c r="B290" t="s">
        <v>113</v>
      </c>
      <c r="C290" t="s">
        <v>23</v>
      </c>
      <c r="D290" t="s">
        <v>158</v>
      </c>
      <c r="E290" t="s">
        <v>37</v>
      </c>
      <c r="F290">
        <v>2010</v>
      </c>
      <c r="G290">
        <v>1.49</v>
      </c>
      <c r="H290">
        <v>1</v>
      </c>
    </row>
    <row r="291" spans="1:8">
      <c r="A291" t="s">
        <v>82</v>
      </c>
      <c r="B291" t="s">
        <v>113</v>
      </c>
      <c r="C291" t="s">
        <v>23</v>
      </c>
      <c r="D291" t="s">
        <v>158</v>
      </c>
      <c r="E291" t="s">
        <v>37</v>
      </c>
      <c r="F291">
        <v>2020</v>
      </c>
      <c r="G291">
        <v>1.42</v>
      </c>
      <c r="H291">
        <v>1</v>
      </c>
    </row>
    <row r="292" spans="1:8">
      <c r="A292" t="s">
        <v>82</v>
      </c>
      <c r="B292" t="s">
        <v>113</v>
      </c>
      <c r="C292" t="s">
        <v>23</v>
      </c>
      <c r="D292" t="s">
        <v>158</v>
      </c>
      <c r="E292" t="s">
        <v>37</v>
      </c>
      <c r="F292">
        <v>2030</v>
      </c>
      <c r="G292">
        <v>1.72</v>
      </c>
      <c r="H292">
        <v>1</v>
      </c>
    </row>
    <row r="293" spans="1:8">
      <c r="A293" t="s">
        <v>82</v>
      </c>
      <c r="B293" t="s">
        <v>113</v>
      </c>
      <c r="C293" t="s">
        <v>23</v>
      </c>
      <c r="D293" t="s">
        <v>158</v>
      </c>
      <c r="E293" t="s">
        <v>37</v>
      </c>
      <c r="F293">
        <v>2040</v>
      </c>
      <c r="G293">
        <v>1.4</v>
      </c>
      <c r="H293">
        <v>1</v>
      </c>
    </row>
    <row r="294" spans="1:8">
      <c r="A294" t="s">
        <v>82</v>
      </c>
      <c r="B294" t="s">
        <v>113</v>
      </c>
      <c r="C294" t="s">
        <v>23</v>
      </c>
      <c r="D294" t="s">
        <v>158</v>
      </c>
      <c r="E294" t="s">
        <v>37</v>
      </c>
      <c r="F294">
        <v>2050</v>
      </c>
      <c r="G294">
        <v>1.66</v>
      </c>
      <c r="H294">
        <v>1</v>
      </c>
    </row>
    <row r="295" spans="1:8">
      <c r="A295" t="s">
        <v>82</v>
      </c>
      <c r="B295" t="s">
        <v>113</v>
      </c>
      <c r="C295" t="s">
        <v>23</v>
      </c>
      <c r="D295" t="s">
        <v>158</v>
      </c>
      <c r="E295" t="s">
        <v>37</v>
      </c>
      <c r="F295">
        <v>2060</v>
      </c>
      <c r="G295">
        <v>1.63</v>
      </c>
      <c r="H295">
        <v>1</v>
      </c>
    </row>
    <row r="296" spans="1:8">
      <c r="A296" t="s">
        <v>82</v>
      </c>
      <c r="B296" t="s">
        <v>113</v>
      </c>
      <c r="C296" t="s">
        <v>23</v>
      </c>
      <c r="D296" t="s">
        <v>158</v>
      </c>
      <c r="E296" t="s">
        <v>37</v>
      </c>
      <c r="F296">
        <v>2070</v>
      </c>
      <c r="G296">
        <v>2.71</v>
      </c>
      <c r="H296">
        <v>1</v>
      </c>
    </row>
    <row r="297" spans="1:8">
      <c r="A297" t="s">
        <v>82</v>
      </c>
      <c r="B297" t="s">
        <v>113</v>
      </c>
      <c r="C297" t="s">
        <v>23</v>
      </c>
      <c r="D297" t="s">
        <v>158</v>
      </c>
      <c r="E297" t="s">
        <v>37</v>
      </c>
      <c r="F297">
        <v>2080</v>
      </c>
      <c r="G297">
        <v>2.86</v>
      </c>
      <c r="H297">
        <v>1</v>
      </c>
    </row>
    <row r="298" spans="1:8">
      <c r="A298" t="s">
        <v>82</v>
      </c>
      <c r="B298" t="s">
        <v>113</v>
      </c>
      <c r="C298" t="s">
        <v>23</v>
      </c>
      <c r="D298" t="s">
        <v>158</v>
      </c>
      <c r="E298" t="s">
        <v>37</v>
      </c>
      <c r="F298">
        <v>2090</v>
      </c>
      <c r="G298">
        <v>2.48</v>
      </c>
      <c r="H298">
        <v>1</v>
      </c>
    </row>
    <row r="299" spans="1:8">
      <c r="A299" t="s">
        <v>82</v>
      </c>
      <c r="B299" t="s">
        <v>114</v>
      </c>
      <c r="C299" t="s">
        <v>25</v>
      </c>
      <c r="D299" t="s">
        <v>115</v>
      </c>
      <c r="E299" t="s">
        <v>37</v>
      </c>
      <c r="F299">
        <v>2010</v>
      </c>
      <c r="G299">
        <v>3.3892000000000002</v>
      </c>
      <c r="H299">
        <v>1</v>
      </c>
    </row>
    <row r="300" spans="1:8">
      <c r="A300" t="s">
        <v>82</v>
      </c>
      <c r="B300" t="s">
        <v>114</v>
      </c>
      <c r="C300" t="s">
        <v>25</v>
      </c>
      <c r="D300" t="s">
        <v>115</v>
      </c>
      <c r="E300" t="s">
        <v>37</v>
      </c>
      <c r="F300">
        <v>2020</v>
      </c>
      <c r="G300">
        <v>3.0421999999999998</v>
      </c>
      <c r="H300">
        <v>1</v>
      </c>
    </row>
    <row r="301" spans="1:8">
      <c r="A301" t="s">
        <v>82</v>
      </c>
      <c r="B301" t="s">
        <v>114</v>
      </c>
      <c r="C301" t="s">
        <v>25</v>
      </c>
      <c r="D301" t="s">
        <v>115</v>
      </c>
      <c r="E301" t="s">
        <v>37</v>
      </c>
      <c r="F301">
        <v>2030</v>
      </c>
      <c r="G301">
        <v>11.668200000000001</v>
      </c>
      <c r="H301">
        <v>1</v>
      </c>
    </row>
    <row r="302" spans="1:8">
      <c r="A302" t="s">
        <v>82</v>
      </c>
      <c r="B302" t="s">
        <v>114</v>
      </c>
      <c r="C302" t="s">
        <v>25</v>
      </c>
      <c r="D302" t="s">
        <v>115</v>
      </c>
      <c r="E302" t="s">
        <v>37</v>
      </c>
      <c r="F302">
        <v>2040</v>
      </c>
      <c r="G302">
        <v>21.437100000000001</v>
      </c>
      <c r="H302">
        <v>1</v>
      </c>
    </row>
    <row r="303" spans="1:8">
      <c r="A303" t="s">
        <v>82</v>
      </c>
      <c r="B303" t="s">
        <v>114</v>
      </c>
      <c r="C303" t="s">
        <v>25</v>
      </c>
      <c r="D303" t="s">
        <v>115</v>
      </c>
      <c r="E303" t="s">
        <v>37</v>
      </c>
      <c r="F303">
        <v>2050</v>
      </c>
      <c r="G303">
        <v>33.826999999999998</v>
      </c>
      <c r="H303">
        <v>1</v>
      </c>
    </row>
    <row r="304" spans="1:8">
      <c r="A304" t="s">
        <v>82</v>
      </c>
      <c r="B304" t="s">
        <v>114</v>
      </c>
      <c r="C304" t="s">
        <v>25</v>
      </c>
      <c r="D304" t="s">
        <v>115</v>
      </c>
      <c r="E304" t="s">
        <v>37</v>
      </c>
      <c r="F304">
        <v>2060</v>
      </c>
      <c r="G304">
        <v>40.623199999999997</v>
      </c>
      <c r="H304">
        <v>1</v>
      </c>
    </row>
    <row r="305" spans="1:8">
      <c r="A305" t="s">
        <v>82</v>
      </c>
      <c r="B305" t="s">
        <v>114</v>
      </c>
      <c r="C305" t="s">
        <v>25</v>
      </c>
      <c r="D305" t="s">
        <v>115</v>
      </c>
      <c r="E305" t="s">
        <v>37</v>
      </c>
      <c r="F305">
        <v>2070</v>
      </c>
      <c r="G305">
        <v>41.029299999999999</v>
      </c>
      <c r="H305">
        <v>1</v>
      </c>
    </row>
    <row r="306" spans="1:8">
      <c r="A306" t="s">
        <v>82</v>
      </c>
      <c r="B306" t="s">
        <v>114</v>
      </c>
      <c r="C306" t="s">
        <v>25</v>
      </c>
      <c r="D306" t="s">
        <v>115</v>
      </c>
      <c r="E306" t="s">
        <v>37</v>
      </c>
      <c r="F306">
        <v>2080</v>
      </c>
      <c r="G306">
        <v>52.423099999999998</v>
      </c>
      <c r="H306">
        <v>1</v>
      </c>
    </row>
    <row r="307" spans="1:8">
      <c r="A307" t="s">
        <v>82</v>
      </c>
      <c r="B307" t="s">
        <v>114</v>
      </c>
      <c r="C307" t="s">
        <v>25</v>
      </c>
      <c r="D307" t="s">
        <v>115</v>
      </c>
      <c r="E307" t="s">
        <v>37</v>
      </c>
      <c r="F307">
        <v>2090</v>
      </c>
      <c r="G307">
        <v>56.773899999999998</v>
      </c>
      <c r="H307">
        <v>1</v>
      </c>
    </row>
    <row r="308" spans="1:8">
      <c r="A308" t="s">
        <v>82</v>
      </c>
      <c r="B308" t="s">
        <v>114</v>
      </c>
      <c r="C308" t="s">
        <v>25</v>
      </c>
      <c r="D308" t="s">
        <v>116</v>
      </c>
      <c r="E308" t="s">
        <v>37</v>
      </c>
      <c r="F308">
        <v>2010</v>
      </c>
      <c r="G308">
        <v>0.34660000000000002</v>
      </c>
      <c r="H308">
        <v>1</v>
      </c>
    </row>
    <row r="309" spans="1:8">
      <c r="A309" t="s">
        <v>82</v>
      </c>
      <c r="B309" t="s">
        <v>114</v>
      </c>
      <c r="C309" t="s">
        <v>25</v>
      </c>
      <c r="D309" t="s">
        <v>116</v>
      </c>
      <c r="E309" t="s">
        <v>37</v>
      </c>
      <c r="F309">
        <v>2020</v>
      </c>
      <c r="G309">
        <v>0.88</v>
      </c>
      <c r="H309">
        <v>1</v>
      </c>
    </row>
    <row r="310" spans="1:8">
      <c r="A310" t="s">
        <v>82</v>
      </c>
      <c r="B310" t="s">
        <v>114</v>
      </c>
      <c r="C310" t="s">
        <v>25</v>
      </c>
      <c r="D310" t="s">
        <v>116</v>
      </c>
      <c r="E310" t="s">
        <v>37</v>
      </c>
      <c r="F310">
        <v>2030</v>
      </c>
      <c r="G310">
        <v>1.9851000000000001</v>
      </c>
      <c r="H310">
        <v>1</v>
      </c>
    </row>
    <row r="311" spans="1:8">
      <c r="A311" t="s">
        <v>82</v>
      </c>
      <c r="B311" t="s">
        <v>114</v>
      </c>
      <c r="C311" t="s">
        <v>25</v>
      </c>
      <c r="D311" t="s">
        <v>116</v>
      </c>
      <c r="E311" t="s">
        <v>37</v>
      </c>
      <c r="F311">
        <v>2040</v>
      </c>
      <c r="G311">
        <v>4.3510999999999997</v>
      </c>
      <c r="H311">
        <v>1</v>
      </c>
    </row>
    <row r="312" spans="1:8">
      <c r="A312" t="s">
        <v>82</v>
      </c>
      <c r="B312" t="s">
        <v>114</v>
      </c>
      <c r="C312" t="s">
        <v>25</v>
      </c>
      <c r="D312" t="s">
        <v>116</v>
      </c>
      <c r="E312" t="s">
        <v>37</v>
      </c>
      <c r="F312">
        <v>2050</v>
      </c>
      <c r="G312">
        <v>9.7711000000000006</v>
      </c>
      <c r="H312">
        <v>1</v>
      </c>
    </row>
    <row r="313" spans="1:8">
      <c r="A313" t="s">
        <v>82</v>
      </c>
      <c r="B313" t="s">
        <v>114</v>
      </c>
      <c r="C313" t="s">
        <v>25</v>
      </c>
      <c r="D313" t="s">
        <v>116</v>
      </c>
      <c r="E313" t="s">
        <v>37</v>
      </c>
      <c r="F313">
        <v>2060</v>
      </c>
      <c r="G313">
        <v>32.477499999999999</v>
      </c>
      <c r="H313">
        <v>1</v>
      </c>
    </row>
    <row r="314" spans="1:8">
      <c r="A314" t="s">
        <v>82</v>
      </c>
      <c r="B314" t="s">
        <v>114</v>
      </c>
      <c r="C314" t="s">
        <v>25</v>
      </c>
      <c r="D314" t="s">
        <v>116</v>
      </c>
      <c r="E314" t="s">
        <v>37</v>
      </c>
      <c r="F314">
        <v>2070</v>
      </c>
      <c r="G314">
        <v>83.756299999999996</v>
      </c>
      <c r="H314">
        <v>1</v>
      </c>
    </row>
    <row r="315" spans="1:8">
      <c r="A315" t="s">
        <v>82</v>
      </c>
      <c r="B315" t="s">
        <v>114</v>
      </c>
      <c r="C315" t="s">
        <v>25</v>
      </c>
      <c r="D315" t="s">
        <v>116</v>
      </c>
      <c r="E315" t="s">
        <v>37</v>
      </c>
      <c r="F315">
        <v>2080</v>
      </c>
      <c r="G315">
        <v>90</v>
      </c>
      <c r="H315">
        <v>1</v>
      </c>
    </row>
    <row r="316" spans="1:8">
      <c r="A316" t="s">
        <v>82</v>
      </c>
      <c r="B316" t="s">
        <v>114</v>
      </c>
      <c r="C316" t="s">
        <v>25</v>
      </c>
      <c r="D316" t="s">
        <v>116</v>
      </c>
      <c r="E316" t="s">
        <v>37</v>
      </c>
      <c r="F316">
        <v>2090</v>
      </c>
      <c r="G316">
        <v>90</v>
      </c>
      <c r="H316">
        <v>1</v>
      </c>
    </row>
    <row r="317" spans="1:8">
      <c r="A317" t="s">
        <v>82</v>
      </c>
      <c r="B317" t="s">
        <v>114</v>
      </c>
      <c r="C317" t="s">
        <v>25</v>
      </c>
      <c r="D317" t="s">
        <v>117</v>
      </c>
      <c r="E317" t="s">
        <v>37</v>
      </c>
      <c r="F317">
        <v>2010</v>
      </c>
      <c r="G317">
        <v>0</v>
      </c>
      <c r="H317">
        <v>1</v>
      </c>
    </row>
    <row r="318" spans="1:8">
      <c r="A318" t="s">
        <v>82</v>
      </c>
      <c r="B318" t="s">
        <v>114</v>
      </c>
      <c r="C318" t="s">
        <v>25</v>
      </c>
      <c r="D318" t="s">
        <v>117</v>
      </c>
      <c r="E318" t="s">
        <v>37</v>
      </c>
      <c r="F318">
        <v>2020</v>
      </c>
      <c r="G318">
        <v>0</v>
      </c>
      <c r="H318">
        <v>1</v>
      </c>
    </row>
    <row r="319" spans="1:8">
      <c r="A319" t="s">
        <v>82</v>
      </c>
      <c r="B319" t="s">
        <v>114</v>
      </c>
      <c r="C319" t="s">
        <v>25</v>
      </c>
      <c r="D319" t="s">
        <v>117</v>
      </c>
      <c r="E319" t="s">
        <v>37</v>
      </c>
      <c r="F319">
        <v>2030</v>
      </c>
      <c r="G319">
        <v>0</v>
      </c>
      <c r="H319">
        <v>1</v>
      </c>
    </row>
    <row r="320" spans="1:8">
      <c r="A320" t="s">
        <v>82</v>
      </c>
      <c r="B320" t="s">
        <v>114</v>
      </c>
      <c r="C320" t="s">
        <v>25</v>
      </c>
      <c r="D320" t="s">
        <v>117</v>
      </c>
      <c r="E320" t="s">
        <v>37</v>
      </c>
      <c r="F320">
        <v>2040</v>
      </c>
      <c r="G320">
        <v>0</v>
      </c>
      <c r="H320">
        <v>1</v>
      </c>
    </row>
    <row r="321" spans="1:8">
      <c r="A321" t="s">
        <v>82</v>
      </c>
      <c r="B321" t="s">
        <v>114</v>
      </c>
      <c r="C321" t="s">
        <v>25</v>
      </c>
      <c r="D321" t="s">
        <v>117</v>
      </c>
      <c r="E321" t="s">
        <v>37</v>
      </c>
      <c r="F321">
        <v>2050</v>
      </c>
      <c r="G321">
        <v>0</v>
      </c>
      <c r="H321">
        <v>1</v>
      </c>
    </row>
    <row r="322" spans="1:8">
      <c r="A322" t="s">
        <v>82</v>
      </c>
      <c r="B322" t="s">
        <v>114</v>
      </c>
      <c r="C322" t="s">
        <v>25</v>
      </c>
      <c r="D322" t="s">
        <v>117</v>
      </c>
      <c r="E322" t="s">
        <v>37</v>
      </c>
      <c r="F322">
        <v>2060</v>
      </c>
      <c r="G322">
        <v>0</v>
      </c>
      <c r="H322">
        <v>1</v>
      </c>
    </row>
    <row r="323" spans="1:8">
      <c r="A323" t="s">
        <v>82</v>
      </c>
      <c r="B323" t="s">
        <v>114</v>
      </c>
      <c r="C323" t="s">
        <v>25</v>
      </c>
      <c r="D323" t="s">
        <v>117</v>
      </c>
      <c r="E323" t="s">
        <v>37</v>
      </c>
      <c r="F323">
        <v>2070</v>
      </c>
      <c r="G323">
        <v>0</v>
      </c>
      <c r="H323">
        <v>1</v>
      </c>
    </row>
    <row r="324" spans="1:8">
      <c r="A324" t="s">
        <v>82</v>
      </c>
      <c r="B324" t="s">
        <v>114</v>
      </c>
      <c r="C324" t="s">
        <v>25</v>
      </c>
      <c r="D324" t="s">
        <v>117</v>
      </c>
      <c r="E324" t="s">
        <v>37</v>
      </c>
      <c r="F324">
        <v>2080</v>
      </c>
      <c r="G324">
        <v>0</v>
      </c>
      <c r="H324">
        <v>1</v>
      </c>
    </row>
    <row r="325" spans="1:8">
      <c r="A325" t="s">
        <v>82</v>
      </c>
      <c r="B325" t="s">
        <v>114</v>
      </c>
      <c r="C325" t="s">
        <v>25</v>
      </c>
      <c r="D325" t="s">
        <v>117</v>
      </c>
      <c r="E325" t="s">
        <v>37</v>
      </c>
      <c r="F325">
        <v>2090</v>
      </c>
      <c r="G325">
        <v>0</v>
      </c>
      <c r="H325">
        <v>1</v>
      </c>
    </row>
    <row r="326" spans="1:8">
      <c r="A326" t="s">
        <v>83</v>
      </c>
      <c r="B326" t="s">
        <v>114</v>
      </c>
      <c r="C326" t="s">
        <v>25</v>
      </c>
      <c r="D326" t="s">
        <v>117</v>
      </c>
      <c r="E326" t="s">
        <v>37</v>
      </c>
      <c r="F326">
        <v>2010</v>
      </c>
      <c r="G326">
        <v>0</v>
      </c>
      <c r="H326">
        <v>2</v>
      </c>
    </row>
  </sheetData>
  <pageMargins left="0.7" right="0.7" top="0.75" bottom="0.75" header="0.3" footer="0.3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selection activeCell="F14" sqref="F14"/>
    </sheetView>
  </sheetViews>
  <sheetFormatPr baseColWidth="10" defaultRowHeight="15" x14ac:dyDescent="0"/>
  <cols>
    <col min="5" max="5" width="20.6640625" bestFit="1" customWidth="1"/>
  </cols>
  <sheetData>
    <row r="1" spans="1:5">
      <c r="A1" s="3" t="s">
        <v>119</v>
      </c>
      <c r="B1" s="3" t="s">
        <v>120</v>
      </c>
      <c r="C1" s="3" t="s">
        <v>121</v>
      </c>
      <c r="D1" s="3" t="s">
        <v>7</v>
      </c>
      <c r="E1" s="3" t="s">
        <v>8</v>
      </c>
    </row>
    <row r="2" spans="1:5">
      <c r="A2" s="3" t="s">
        <v>122</v>
      </c>
      <c r="B2" s="3" t="s">
        <v>122</v>
      </c>
      <c r="C2" s="3" t="s">
        <v>123</v>
      </c>
      <c r="D2" s="3">
        <v>1</v>
      </c>
      <c r="E2" s="3" t="str">
        <f>VLOOKUP(D2,ParentCorp!$A$2:$B$36,2,FALSE)</f>
        <v>Micron Technology, Inc.</v>
      </c>
    </row>
    <row r="3" spans="1:5">
      <c r="A3" s="3" t="s">
        <v>124</v>
      </c>
      <c r="B3" s="3" t="s">
        <v>124</v>
      </c>
      <c r="C3" s="3" t="s">
        <v>125</v>
      </c>
      <c r="D3" s="3">
        <v>1</v>
      </c>
      <c r="E3" s="3" t="str">
        <f>VLOOKUP(D3,ParentCorp!$A$2:$B$36,2,FALSE)</f>
        <v>Micron Technology, Inc.</v>
      </c>
    </row>
    <row r="4" spans="1:5">
      <c r="A4" s="3" t="s">
        <v>126</v>
      </c>
      <c r="B4" s="3" t="s">
        <v>126</v>
      </c>
      <c r="C4" s="3" t="s">
        <v>127</v>
      </c>
      <c r="D4" s="3">
        <v>2</v>
      </c>
      <c r="E4" s="3" t="str">
        <f>VLOOKUP(D4,ParentCorp!$A$2:$B$36,2,FALSE)</f>
        <v>IDACORP, Inc</v>
      </c>
    </row>
    <row r="5" spans="1:5">
      <c r="A5" s="3" t="s">
        <v>128</v>
      </c>
      <c r="B5" s="3" t="s">
        <v>128</v>
      </c>
      <c r="C5" s="3" t="s">
        <v>129</v>
      </c>
      <c r="D5" s="3">
        <v>3</v>
      </c>
      <c r="E5" s="3" t="str">
        <f>VLOOKUP(D5,ParentCorp!$A$2:$B$36,2,FALSE)</f>
        <v>HP Inc.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CorpRiskTable</vt:lpstr>
      <vt:lpstr>ValueAtRisk</vt:lpstr>
      <vt:lpstr>Location</vt:lpstr>
      <vt:lpstr>ParentCorp</vt:lpstr>
      <vt:lpstr>TCFDCategory</vt:lpstr>
      <vt:lpstr>TCFDSubCat</vt:lpstr>
      <vt:lpstr>RiskFactor</vt:lpstr>
      <vt:lpstr>Scenarios</vt:lpstr>
      <vt:lpstr>CorpRiskTable_withSEoutputs</vt:lpstr>
      <vt:lpstr>users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McMahon</dc:creator>
  <cp:lastModifiedBy>James McMahon</cp:lastModifiedBy>
  <dcterms:created xsi:type="dcterms:W3CDTF">2017-12-27T19:38:45Z</dcterms:created>
  <dcterms:modified xsi:type="dcterms:W3CDTF">2018-01-09T22:12:41Z</dcterms:modified>
</cp:coreProperties>
</file>